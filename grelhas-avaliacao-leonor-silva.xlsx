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egisto de aulas" sheetId="2" state="visible" r:id="rId2"/>
    <sheet xmlns:r="http://schemas.openxmlformats.org/officeDocument/2006/relationships" name="Resumo semanal" sheetId="3" state="visible" r:id="rId3"/>
    <sheet xmlns:r="http://schemas.openxmlformats.org/officeDocument/2006/relationships" name="Testes" sheetId="4" state="visible" r:id="rId4"/>
    <sheet xmlns:r="http://schemas.openxmlformats.org/officeDocument/2006/relationships" name="Semestral" sheetId="5" state="visible" r:id="rId5"/>
    <sheet xmlns:r="http://schemas.openxmlformats.org/officeDocument/2006/relationships" name="Metrónomo" sheetId="6" state="visible" r:id="rId6"/>
    <sheet xmlns:r="http://schemas.openxmlformats.org/officeDocument/2006/relationships" name="Estudo em cas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b val="1"/>
      <color rgb="00C00000"/>
    </font>
    <font>
      <b val="1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9" fontId="0" fillId="5" borderId="1" pivotButton="0" quotePrefix="0" xfId="0"/>
    <xf numFmtId="0" fontId="0" fillId="4" borderId="1" applyAlignment="1" pivotButton="0" quotePrefix="0" xfId="0">
      <alignment wrapText="1"/>
    </xf>
    <xf numFmtId="0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9" fontId="4" fillId="5" borderId="1" pivotButton="0" quotePrefix="0" xfId="0"/>
    <xf numFmtId="0" fontId="4" fillId="4" borderId="1" applyAlignment="1" pivotButton="0" quotePrefix="0" xfId="0">
      <alignment wrapText="1"/>
    </xf>
    <xf numFmtId="0" fontId="0" fillId="6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9" fontId="0" fillId="6" borderId="1" applyAlignment="1" pivotButton="0" quotePrefix="0" xfId="0">
      <alignment horizontal="center"/>
    </xf>
    <xf numFmtId="166" fontId="0" fillId="6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9" fontId="5" fillId="0" borderId="1" pivotButton="0" quotePrefix="0" xfId="0"/>
    <xf numFmtId="0" fontId="0" fillId="4" borderId="0" pivotButton="0" quotePrefix="0" xfId="0"/>
    <xf numFmtId="9" fontId="0" fillId="0" borderId="1" pivotButton="0" quotePrefix="0" xfId="0"/>
    <xf numFmtId="9" fontId="0" fillId="4" borderId="1" pivotButton="0" quotePrefix="0" xfId="0"/>
    <xf numFmtId="0" fontId="0" fillId="4" borderId="0" applyAlignment="1" pivotButton="0" quotePrefix="0" xfId="0">
      <alignment wrapText="1"/>
    </xf>
    <xf numFmtId="9" fontId="7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zoomScale="9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Grelhas de avaliação – Leonor Silva · Órgão 3.º grau · CRPD 2026/27</t>
        </is>
      </c>
    </row>
    <row r="2">
      <c r="A2" s="2" t="inlineStr"/>
    </row>
    <row r="3">
      <c r="A3" s="2" t="inlineStr">
        <is>
          <t>Escala de 1 a 5 em cada descritor: 1 Insuficiente · 2 Em desenvolvimento · 3 Suficiente · 4 Bom · 5 Muito bom.</t>
        </is>
      </c>
    </row>
    <row r="4">
      <c r="A4" s="2" t="inlineStr">
        <is>
          <t>Preencher só as células amarelas. As colunas cinzentas/azuis calculam sozinhas.</t>
        </is>
      </c>
    </row>
    <row r="5">
      <c r="A5" s="2" t="inlineStr">
        <is>
          <t>Registo de aulas: 1 linha por aula (qua 45' / qui 20'). Presença: P, F, FJ (falta justificada), PM (pontualidade: chegou atrasada).</t>
        </is>
      </c>
    </row>
    <row r="6">
      <c r="A6" s="2" t="inlineStr">
        <is>
          <t>Atitudinal (10%) = média de Pontualidade, Material, Empenho, Concentração, Autonomia e Estudo em casa.</t>
        </is>
      </c>
    </row>
    <row r="7">
      <c r="A7" s="2" t="inlineStr">
        <is>
          <t>Tarefas em aula (40%) = média de Postura/Relaxamento, Coordenação/Técnica (inclui pedal), Leitura, Pulsação/Ritmo, Articulação/Estilo, Fraseado/Controlo.</t>
        </is>
      </c>
    </row>
    <row r="8">
      <c r="A8" s="2" t="inlineStr">
        <is>
          <t>Testes (35%) e Audições/Atividades (15%): preencher na folha Testes e na folha Semestral.</t>
        </is>
      </c>
    </row>
    <row r="9">
      <c r="A9" s="2" t="inlineStr">
        <is>
          <t>Ausência justificada em atividade: os 15% repartem-se igualmente por Tarefas e Testes (a folha Semestral faz isso se escrever 'J' na célula da atividade).</t>
        </is>
      </c>
    </row>
    <row r="10">
      <c r="A10" s="2" t="inlineStr">
        <is>
          <t>Níveis: 1 (0–19%) · 2 (20–49%) · 3 (50–69%) · 4 (70–89%) · 5 (90–100%).</t>
        </is>
      </c>
    </row>
    <row r="11">
      <c r="A11" s="2" t="inlineStr">
        <is>
          <t>Datas dos testes: 11 nov · 20 jan · 10 mar · 28 abr.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2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4" customWidth="1" min="22" max="22"/>
    <col width="8" customWidth="1" min="23" max="23"/>
    <col width="14" customWidth="1" min="24" max="24"/>
    <col width="11" customWidth="1" min="25" max="25"/>
    <col width="8" customWidth="1" min="26" max="26"/>
    <col width="9" customWidth="1" min="27" max="27"/>
    <col width="9" customWidth="1" min="28" max="28"/>
    <col width="30" customWidth="1" min="29" max="29"/>
    <col width="40" customWidth="1" min="30" max="30"/>
  </cols>
  <sheetData>
    <row r="1" ht="48" customHeight="1">
      <c r="A1" s="3" t="inlineStr">
        <is>
          <t>Sem.</t>
        </is>
      </c>
      <c r="B1" s="3" t="inlineStr">
        <is>
          <t>Semestre</t>
        </is>
      </c>
      <c r="C1" s="3" t="inlineStr">
        <is>
          <t>Data</t>
        </is>
      </c>
      <c r="D1" s="3" t="inlineStr">
        <is>
          <t>Dia</t>
        </is>
      </c>
      <c r="E1" s="3" t="inlineStr">
        <is>
          <t>Dur. (min)</t>
        </is>
      </c>
      <c r="F1" s="3" t="inlineStr">
        <is>
          <t>Presença
(P/F/FJ/PM)</t>
        </is>
      </c>
      <c r="G1" s="3" t="inlineStr">
        <is>
          <t>Pontualidade</t>
        </is>
      </c>
      <c r="H1" s="3" t="inlineStr">
        <is>
          <t>Material</t>
        </is>
      </c>
      <c r="I1" s="3" t="inlineStr">
        <is>
          <t>Empenho</t>
        </is>
      </c>
      <c r="J1" s="3" t="inlineStr">
        <is>
          <t>Concentração</t>
        </is>
      </c>
      <c r="K1" s="3" t="inlineStr">
        <is>
          <t>Autonomia /
responsab.</t>
        </is>
      </c>
      <c r="L1" s="3" t="inlineStr">
        <is>
          <t>Estudo casa
(1–5)</t>
        </is>
      </c>
      <c r="M1" s="3" t="inlineStr">
        <is>
          <t>Dias estudo
(0–7)</t>
        </is>
      </c>
      <c r="N1" s="3" t="inlineStr">
        <is>
          <t>Min. estudo
semana</t>
        </is>
      </c>
      <c r="O1" s="3" t="inlineStr">
        <is>
          <t>Postura /
relaxamento</t>
        </is>
      </c>
      <c r="P1" s="3" t="inlineStr">
        <is>
          <t>Coordenação /
técnica (pedal)</t>
        </is>
      </c>
      <c r="Q1" s="3" t="inlineStr">
        <is>
          <t>Leitura</t>
        </is>
      </c>
      <c r="R1" s="3" t="inlineStr">
        <is>
          <t>Pulsação /
ritmo</t>
        </is>
      </c>
      <c r="S1" s="3" t="inlineStr">
        <is>
          <t>Articulação /
estilo</t>
        </is>
      </c>
      <c r="T1" s="3" t="inlineStr">
        <is>
          <t>Fraseado /
controlo</t>
        </is>
      </c>
      <c r="U1" s="3" t="inlineStr">
        <is>
          <t>Clave de fá
(notas/min)</t>
        </is>
      </c>
      <c r="V1" s="3" t="inlineStr">
        <is>
          <t>Técnica: tonalidade</t>
        </is>
      </c>
      <c r="W1" s="3" t="inlineStr">
        <is>
          <t>♩ técnica
atingido</t>
        </is>
      </c>
      <c r="X1" s="3" t="inlineStr">
        <is>
          <t>Obra</t>
        </is>
      </c>
      <c r="Y1" s="3" t="inlineStr">
        <is>
          <t>Compassos
trabalhados</t>
        </is>
      </c>
      <c r="Z1" s="3" t="inlineStr">
        <is>
          <t>♩ obra
atingido</t>
        </is>
      </c>
      <c r="AA1" s="3" t="inlineStr">
        <is>
          <t>Atitudinal
(%)</t>
        </is>
      </c>
      <c r="AB1" s="3" t="inlineStr">
        <is>
          <t>Tarefas
(%)</t>
        </is>
      </c>
      <c r="AC1" s="3" t="inlineStr">
        <is>
          <t>TPC</t>
        </is>
      </c>
      <c r="AD1" s="3" t="inlineStr">
        <is>
          <t>Observações (atenção, fadiga, evolução)</t>
        </is>
      </c>
    </row>
    <row r="2">
      <c r="A2" s="4" t="n">
        <v>1</v>
      </c>
      <c r="B2" s="4" t="n">
        <v>1</v>
      </c>
      <c r="C2" s="5" t="n">
        <v>46295</v>
      </c>
      <c r="D2" s="4" t="inlineStr">
        <is>
          <t>qua</t>
        </is>
      </c>
      <c r="E2" s="4" t="n">
        <v>45</v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7">
        <f>IFERROR(AVERAGE(G2:L2)/5,"")</f>
        <v/>
      </c>
      <c r="AB2" s="7">
        <f>IFERROR(AVERAGE(O2:T2)/5,"")</f>
        <v/>
      </c>
      <c r="AC2" s="8" t="n"/>
      <c r="AD2" s="8" t="n"/>
    </row>
    <row r="3">
      <c r="A3" s="4" t="n">
        <v>1</v>
      </c>
      <c r="B3" s="4" t="n">
        <v>1</v>
      </c>
      <c r="C3" s="5" t="n">
        <v>46296</v>
      </c>
      <c r="D3" s="4" t="inlineStr">
        <is>
          <t>qui</t>
        </is>
      </c>
      <c r="E3" s="4" t="n">
        <v>20</v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>
        <f>IFERROR(AVERAGE(G3:L3)/5,"")</f>
        <v/>
      </c>
      <c r="AB3" s="7">
        <f>IFERROR(AVERAGE(O3:T3)/5,"")</f>
        <v/>
      </c>
      <c r="AC3" s="8" t="n"/>
      <c r="AD3" s="8" t="n"/>
    </row>
    <row r="4">
      <c r="A4" s="4" t="n">
        <v>2</v>
      </c>
      <c r="B4" s="4" t="n">
        <v>1</v>
      </c>
      <c r="C4" s="5" t="n">
        <v>46302</v>
      </c>
      <c r="D4" s="4" t="inlineStr">
        <is>
          <t>qua</t>
        </is>
      </c>
      <c r="E4" s="4" t="n">
        <v>45</v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7">
        <f>IFERROR(AVERAGE(G4:L4)/5,"")</f>
        <v/>
      </c>
      <c r="AB4" s="7">
        <f>IFERROR(AVERAGE(O4:T4)/5,"")</f>
        <v/>
      </c>
      <c r="AC4" s="8" t="n"/>
      <c r="AD4" s="8" t="n"/>
    </row>
    <row r="5">
      <c r="A5" s="4" t="n">
        <v>2</v>
      </c>
      <c r="B5" s="4" t="n">
        <v>1</v>
      </c>
      <c r="C5" s="5" t="n">
        <v>46303</v>
      </c>
      <c r="D5" s="4" t="inlineStr">
        <is>
          <t>qui</t>
        </is>
      </c>
      <c r="E5" s="4" t="n">
        <v>20</v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7">
        <f>IFERROR(AVERAGE(G5:L5)/5,"")</f>
        <v/>
      </c>
      <c r="AB5" s="7">
        <f>IFERROR(AVERAGE(O5:T5)/5,"")</f>
        <v/>
      </c>
      <c r="AC5" s="8" t="n"/>
      <c r="AD5" s="8" t="n"/>
    </row>
    <row r="6">
      <c r="A6" s="4" t="n">
        <v>3</v>
      </c>
      <c r="B6" s="4" t="n">
        <v>1</v>
      </c>
      <c r="C6" s="5" t="n">
        <v>46309</v>
      </c>
      <c r="D6" s="4" t="inlineStr">
        <is>
          <t>qua</t>
        </is>
      </c>
      <c r="E6" s="4" t="n">
        <v>45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7">
        <f>IFERROR(AVERAGE(G6:L6)/5,"")</f>
        <v/>
      </c>
      <c r="AB6" s="7">
        <f>IFERROR(AVERAGE(O6:T6)/5,"")</f>
        <v/>
      </c>
      <c r="AC6" s="8" t="n"/>
      <c r="AD6" s="8" t="n"/>
    </row>
    <row r="7">
      <c r="A7" s="4" t="n">
        <v>3</v>
      </c>
      <c r="B7" s="4" t="n">
        <v>1</v>
      </c>
      <c r="C7" s="5" t="n">
        <v>46310</v>
      </c>
      <c r="D7" s="4" t="inlineStr">
        <is>
          <t>qui</t>
        </is>
      </c>
      <c r="E7" s="4" t="n">
        <v>20</v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7">
        <f>IFERROR(AVERAGE(G7:L7)/5,"")</f>
        <v/>
      </c>
      <c r="AB7" s="7">
        <f>IFERROR(AVERAGE(O7:T7)/5,"")</f>
        <v/>
      </c>
      <c r="AC7" s="8" t="n"/>
      <c r="AD7" s="8" t="n"/>
    </row>
    <row r="8">
      <c r="A8" s="4" t="n">
        <v>4</v>
      </c>
      <c r="B8" s="4" t="n">
        <v>1</v>
      </c>
      <c r="C8" s="5" t="n">
        <v>46316</v>
      </c>
      <c r="D8" s="4" t="inlineStr">
        <is>
          <t>qua</t>
        </is>
      </c>
      <c r="E8" s="4" t="n">
        <v>45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7">
        <f>IFERROR(AVERAGE(G8:L8)/5,"")</f>
        <v/>
      </c>
      <c r="AB8" s="7">
        <f>IFERROR(AVERAGE(O8:T8)/5,"")</f>
        <v/>
      </c>
      <c r="AC8" s="8" t="n"/>
      <c r="AD8" s="8" t="n"/>
    </row>
    <row r="9">
      <c r="A9" s="4" t="n">
        <v>4</v>
      </c>
      <c r="B9" s="4" t="n">
        <v>1</v>
      </c>
      <c r="C9" s="5" t="n">
        <v>46317</v>
      </c>
      <c r="D9" s="4" t="inlineStr">
        <is>
          <t>qui</t>
        </is>
      </c>
      <c r="E9" s="4" t="n">
        <v>20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7">
        <f>IFERROR(AVERAGE(G9:L9)/5,"")</f>
        <v/>
      </c>
      <c r="AB9" s="7">
        <f>IFERROR(AVERAGE(O9:T9)/5,"")</f>
        <v/>
      </c>
      <c r="AC9" s="8" t="n"/>
      <c r="AD9" s="8" t="n"/>
    </row>
    <row r="10">
      <c r="A10" s="4" t="n">
        <v>5</v>
      </c>
      <c r="B10" s="4" t="n">
        <v>1</v>
      </c>
      <c r="C10" s="5" t="n">
        <v>46323</v>
      </c>
      <c r="D10" s="4" t="inlineStr">
        <is>
          <t>qua</t>
        </is>
      </c>
      <c r="E10" s="4" t="n">
        <v>45</v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7">
        <f>IFERROR(AVERAGE(G10:L10)/5,"")</f>
        <v/>
      </c>
      <c r="AB10" s="7">
        <f>IFERROR(AVERAGE(O10:T10)/5,"")</f>
        <v/>
      </c>
      <c r="AC10" s="8" t="n"/>
      <c r="AD10" s="8" t="n"/>
    </row>
    <row r="11">
      <c r="A11" s="4" t="n">
        <v>5</v>
      </c>
      <c r="B11" s="4" t="n">
        <v>1</v>
      </c>
      <c r="C11" s="5" t="n">
        <v>46324</v>
      </c>
      <c r="D11" s="4" t="inlineStr">
        <is>
          <t>qui</t>
        </is>
      </c>
      <c r="E11" s="4" t="n">
        <v>20</v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7">
        <f>IFERROR(AVERAGE(G11:L11)/5,"")</f>
        <v/>
      </c>
      <c r="AB11" s="7">
        <f>IFERROR(AVERAGE(O11:T11)/5,"")</f>
        <v/>
      </c>
      <c r="AC11" s="8" t="n"/>
      <c r="AD11" s="8" t="n"/>
    </row>
    <row r="12">
      <c r="A12" s="4" t="n">
        <v>6</v>
      </c>
      <c r="B12" s="4" t="n">
        <v>1</v>
      </c>
      <c r="C12" s="5" t="n">
        <v>46330</v>
      </c>
      <c r="D12" s="4" t="inlineStr">
        <is>
          <t>qua</t>
        </is>
      </c>
      <c r="E12" s="4" t="n">
        <v>45</v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7">
        <f>IFERROR(AVERAGE(G12:L12)/5,"")</f>
        <v/>
      </c>
      <c r="AB12" s="7">
        <f>IFERROR(AVERAGE(O12:T12)/5,"")</f>
        <v/>
      </c>
      <c r="AC12" s="8" t="n"/>
      <c r="AD12" s="8" t="n"/>
    </row>
    <row r="13">
      <c r="A13" s="4" t="n">
        <v>6</v>
      </c>
      <c r="B13" s="4" t="n">
        <v>1</v>
      </c>
      <c r="C13" s="5" t="n">
        <v>46331</v>
      </c>
      <c r="D13" s="4" t="inlineStr">
        <is>
          <t>qui</t>
        </is>
      </c>
      <c r="E13" s="4" t="n">
        <v>20</v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7">
        <f>IFERROR(AVERAGE(G13:L13)/5,"")</f>
        <v/>
      </c>
      <c r="AB13" s="7">
        <f>IFERROR(AVERAGE(O13:T13)/5,"")</f>
        <v/>
      </c>
      <c r="AC13" s="8" t="n"/>
      <c r="AD13" s="8" t="n"/>
    </row>
    <row r="14">
      <c r="A14" s="9" t="n">
        <v>7</v>
      </c>
      <c r="B14" s="9" t="n">
        <v>1</v>
      </c>
      <c r="C14" s="10" t="n">
        <v>46337</v>
      </c>
      <c r="D14" s="9" t="inlineStr">
        <is>
          <t>qua</t>
        </is>
      </c>
      <c r="E14" s="9" t="n">
        <v>45</v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2">
        <f>IFERROR(AVERAGE(G14:L14)/5,"")</f>
        <v/>
      </c>
      <c r="AB14" s="12">
        <f>IFERROR(AVERAGE(O14:T14)/5,"")</f>
        <v/>
      </c>
      <c r="AC14" s="13" t="n"/>
      <c r="AD14" s="13" t="inlineStr">
        <is>
          <t>TESTE I (1.º sem.) – Ré M/si m + Seixas</t>
        </is>
      </c>
    </row>
    <row r="15">
      <c r="A15" s="4" t="n">
        <v>7</v>
      </c>
      <c r="B15" s="4" t="n">
        <v>1</v>
      </c>
      <c r="C15" s="5" t="n">
        <v>46338</v>
      </c>
      <c r="D15" s="4" t="inlineStr">
        <is>
          <t>qui</t>
        </is>
      </c>
      <c r="E15" s="4" t="n">
        <v>20</v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7">
        <f>IFERROR(AVERAGE(G15:L15)/5,"")</f>
        <v/>
      </c>
      <c r="AB15" s="7">
        <f>IFERROR(AVERAGE(O15:T15)/5,"")</f>
        <v/>
      </c>
      <c r="AC15" s="8" t="n"/>
      <c r="AD15" s="8" t="n"/>
    </row>
    <row r="16">
      <c r="A16" s="4" t="n">
        <v>8</v>
      </c>
      <c r="B16" s="4" t="n">
        <v>1</v>
      </c>
      <c r="C16" s="5" t="n">
        <v>46344</v>
      </c>
      <c r="D16" s="4" t="inlineStr">
        <is>
          <t>qua</t>
        </is>
      </c>
      <c r="E16" s="4" t="n">
        <v>45</v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7">
        <f>IFERROR(AVERAGE(G16:L16)/5,"")</f>
        <v/>
      </c>
      <c r="AB16" s="7">
        <f>IFERROR(AVERAGE(O16:T16)/5,"")</f>
        <v/>
      </c>
      <c r="AC16" s="8" t="n"/>
      <c r="AD16" s="8" t="n"/>
    </row>
    <row r="17">
      <c r="A17" s="4" t="n">
        <v>8</v>
      </c>
      <c r="B17" s="4" t="n">
        <v>1</v>
      </c>
      <c r="C17" s="5" t="n">
        <v>46345</v>
      </c>
      <c r="D17" s="4" t="inlineStr">
        <is>
          <t>qui</t>
        </is>
      </c>
      <c r="E17" s="4" t="n">
        <v>20</v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7">
        <f>IFERROR(AVERAGE(G17:L17)/5,"")</f>
        <v/>
      </c>
      <c r="AB17" s="7">
        <f>IFERROR(AVERAGE(O17:T17)/5,"")</f>
        <v/>
      </c>
      <c r="AC17" s="8" t="n"/>
      <c r="AD17" s="8" t="n"/>
    </row>
    <row r="18">
      <c r="A18" s="4" t="n">
        <v>9</v>
      </c>
      <c r="B18" s="4" t="n">
        <v>1</v>
      </c>
      <c r="C18" s="5" t="n">
        <v>46351</v>
      </c>
      <c r="D18" s="4" t="inlineStr">
        <is>
          <t>qua</t>
        </is>
      </c>
      <c r="E18" s="4" t="n">
        <v>45</v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7">
        <f>IFERROR(AVERAGE(G18:L18)/5,"")</f>
        <v/>
      </c>
      <c r="AB18" s="7">
        <f>IFERROR(AVERAGE(O18:T18)/5,"")</f>
        <v/>
      </c>
      <c r="AC18" s="8" t="n"/>
      <c r="AD18" s="8" t="n"/>
    </row>
    <row r="19">
      <c r="A19" s="4" t="n">
        <v>9</v>
      </c>
      <c r="B19" s="4" t="n">
        <v>1</v>
      </c>
      <c r="C19" s="5" t="n">
        <v>46352</v>
      </c>
      <c r="D19" s="4" t="inlineStr">
        <is>
          <t>qui</t>
        </is>
      </c>
      <c r="E19" s="4" t="n">
        <v>20</v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7">
        <f>IFERROR(AVERAGE(G19:L19)/5,"")</f>
        <v/>
      </c>
      <c r="AB19" s="7">
        <f>IFERROR(AVERAGE(O19:T19)/5,"")</f>
        <v/>
      </c>
      <c r="AC19" s="8" t="n"/>
      <c r="AD19" s="8" t="n"/>
    </row>
    <row r="20">
      <c r="A20" s="4" t="n">
        <v>10</v>
      </c>
      <c r="B20" s="4" t="n">
        <v>1</v>
      </c>
      <c r="C20" s="5" t="n">
        <v>46358</v>
      </c>
      <c r="D20" s="4" t="inlineStr">
        <is>
          <t>qua</t>
        </is>
      </c>
      <c r="E20" s="4" t="n">
        <v>45</v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7">
        <f>IFERROR(AVERAGE(G20:L20)/5,"")</f>
        <v/>
      </c>
      <c r="AB20" s="7">
        <f>IFERROR(AVERAGE(O20:T20)/5,"")</f>
        <v/>
      </c>
      <c r="AC20" s="8" t="n"/>
      <c r="AD20" s="8" t="n"/>
    </row>
    <row r="21">
      <c r="A21" s="4" t="n">
        <v>10</v>
      </c>
      <c r="B21" s="4" t="n">
        <v>1</v>
      </c>
      <c r="C21" s="5" t="n">
        <v>46359</v>
      </c>
      <c r="D21" s="4" t="inlineStr">
        <is>
          <t>qui</t>
        </is>
      </c>
      <c r="E21" s="4" t="n">
        <v>20</v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7">
        <f>IFERROR(AVERAGE(G21:L21)/5,"")</f>
        <v/>
      </c>
      <c r="AB21" s="7">
        <f>IFERROR(AVERAGE(O21:T21)/5,"")</f>
        <v/>
      </c>
      <c r="AC21" s="8" t="n"/>
      <c r="AD21" s="8" t="n"/>
    </row>
    <row r="22">
      <c r="A22" s="4" t="n">
        <v>11</v>
      </c>
      <c r="B22" s="4" t="n">
        <v>1</v>
      </c>
      <c r="C22" s="5" t="n">
        <v>46365</v>
      </c>
      <c r="D22" s="4" t="inlineStr">
        <is>
          <t>qua</t>
        </is>
      </c>
      <c r="E22" s="4" t="n">
        <v>45</v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7">
        <f>IFERROR(AVERAGE(G22:L22)/5,"")</f>
        <v/>
      </c>
      <c r="AB22" s="7">
        <f>IFERROR(AVERAGE(O22:T22)/5,"")</f>
        <v/>
      </c>
      <c r="AC22" s="8" t="n"/>
      <c r="AD22" s="8" t="n"/>
    </row>
    <row r="23">
      <c r="A23" s="4" t="n">
        <v>11</v>
      </c>
      <c r="B23" s="4" t="n">
        <v>1</v>
      </c>
      <c r="C23" s="5" t="n">
        <v>46366</v>
      </c>
      <c r="D23" s="4" t="inlineStr">
        <is>
          <t>qui</t>
        </is>
      </c>
      <c r="E23" s="4" t="n">
        <v>20</v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7">
        <f>IFERROR(AVERAGE(G23:L23)/5,"")</f>
        <v/>
      </c>
      <c r="AB23" s="7">
        <f>IFERROR(AVERAGE(O23:T23)/5,"")</f>
        <v/>
      </c>
      <c r="AC23" s="8" t="n"/>
      <c r="AD23" s="8" t="n"/>
    </row>
    <row r="24">
      <c r="A24" s="4" t="n">
        <v>12</v>
      </c>
      <c r="B24" s="4" t="n">
        <v>1</v>
      </c>
      <c r="C24" s="5" t="n">
        <v>46372</v>
      </c>
      <c r="D24" s="4" t="inlineStr">
        <is>
          <t>qua</t>
        </is>
      </c>
      <c r="E24" s="4" t="n">
        <v>45</v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7">
        <f>IFERROR(AVERAGE(G24:L24)/5,"")</f>
        <v/>
      </c>
      <c r="AB24" s="7">
        <f>IFERROR(AVERAGE(O24:T24)/5,"")</f>
        <v/>
      </c>
      <c r="AC24" s="8" t="n"/>
      <c r="AD24" s="8" t="n"/>
    </row>
    <row r="25">
      <c r="A25" s="4" t="n">
        <v>12</v>
      </c>
      <c r="B25" s="4" t="n">
        <v>1</v>
      </c>
      <c r="C25" s="5" t="n">
        <v>46373</v>
      </c>
      <c r="D25" s="4" t="inlineStr">
        <is>
          <t>qui</t>
        </is>
      </c>
      <c r="E25" s="4" t="n">
        <v>20</v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7">
        <f>IFERROR(AVERAGE(G25:L25)/5,"")</f>
        <v/>
      </c>
      <c r="AB25" s="7">
        <f>IFERROR(AVERAGE(O25:T25)/5,"")</f>
        <v/>
      </c>
      <c r="AC25" s="8" t="n"/>
      <c r="AD25" s="8" t="n"/>
    </row>
    <row r="26">
      <c r="A26" s="4" t="n">
        <v>13</v>
      </c>
      <c r="B26" s="4" t="n">
        <v>1</v>
      </c>
      <c r="C26" s="5" t="n">
        <v>46393</v>
      </c>
      <c r="D26" s="4" t="inlineStr">
        <is>
          <t>qua</t>
        </is>
      </c>
      <c r="E26" s="4" t="n">
        <v>45</v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7">
        <f>IFERROR(AVERAGE(G26:L26)/5,"")</f>
        <v/>
      </c>
      <c r="AB26" s="7">
        <f>IFERROR(AVERAGE(O26:T26)/5,"")</f>
        <v/>
      </c>
      <c r="AC26" s="8" t="n"/>
      <c r="AD26" s="8" t="n"/>
    </row>
    <row r="27">
      <c r="A27" s="4" t="n">
        <v>13</v>
      </c>
      <c r="B27" s="4" t="n">
        <v>1</v>
      </c>
      <c r="C27" s="5" t="n">
        <v>46394</v>
      </c>
      <c r="D27" s="4" t="inlineStr">
        <is>
          <t>qui</t>
        </is>
      </c>
      <c r="E27" s="4" t="n">
        <v>20</v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7">
        <f>IFERROR(AVERAGE(G27:L27)/5,"")</f>
        <v/>
      </c>
      <c r="AB27" s="7">
        <f>IFERROR(AVERAGE(O27:T27)/5,"")</f>
        <v/>
      </c>
      <c r="AC27" s="8" t="n"/>
      <c r="AD27" s="8" t="n"/>
    </row>
    <row r="28">
      <c r="A28" s="4" t="n">
        <v>14</v>
      </c>
      <c r="B28" s="4" t="n">
        <v>1</v>
      </c>
      <c r="C28" s="5" t="n">
        <v>46400</v>
      </c>
      <c r="D28" s="4" t="inlineStr">
        <is>
          <t>qua</t>
        </is>
      </c>
      <c r="E28" s="4" t="n">
        <v>45</v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7">
        <f>IFERROR(AVERAGE(G28:L28)/5,"")</f>
        <v/>
      </c>
      <c r="AB28" s="7">
        <f>IFERROR(AVERAGE(O28:T28)/5,"")</f>
        <v/>
      </c>
      <c r="AC28" s="8" t="n"/>
      <c r="AD28" s="8" t="n"/>
    </row>
    <row r="29">
      <c r="A29" s="4" t="n">
        <v>14</v>
      </c>
      <c r="B29" s="4" t="n">
        <v>1</v>
      </c>
      <c r="C29" s="5" t="n">
        <v>46401</v>
      </c>
      <c r="D29" s="4" t="inlineStr">
        <is>
          <t>qui</t>
        </is>
      </c>
      <c r="E29" s="4" t="n">
        <v>20</v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7">
        <f>IFERROR(AVERAGE(G29:L29)/5,"")</f>
        <v/>
      </c>
      <c r="AB29" s="7">
        <f>IFERROR(AVERAGE(O29:T29)/5,"")</f>
        <v/>
      </c>
      <c r="AC29" s="8" t="n"/>
      <c r="AD29" s="8" t="n"/>
    </row>
    <row r="30">
      <c r="A30" s="9" t="n">
        <v>15</v>
      </c>
      <c r="B30" s="9" t="n">
        <v>1</v>
      </c>
      <c r="C30" s="10" t="n">
        <v>46407</v>
      </c>
      <c r="D30" s="9" t="inlineStr">
        <is>
          <t>qua</t>
        </is>
      </c>
      <c r="E30" s="9" t="n">
        <v>45</v>
      </c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2">
        <f>IFERROR(AVERAGE(G30:L30)/5,"")</f>
        <v/>
      </c>
      <c r="AB30" s="12">
        <f>IFERROR(AVERAGE(O30:T30)/5,"")</f>
        <v/>
      </c>
      <c r="AC30" s="13" t="n"/>
      <c r="AD30" s="13" t="inlineStr">
        <is>
          <t>TESTE II (1.º sem.) – Fá M/ré m + Loeillet + Langlais</t>
        </is>
      </c>
    </row>
    <row r="31">
      <c r="A31" s="4" t="n">
        <v>15</v>
      </c>
      <c r="B31" s="4" t="n">
        <v>1</v>
      </c>
      <c r="C31" s="5" t="n">
        <v>46408</v>
      </c>
      <c r="D31" s="4" t="inlineStr">
        <is>
          <t>qui</t>
        </is>
      </c>
      <c r="E31" s="4" t="n">
        <v>20</v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7">
        <f>IFERROR(AVERAGE(G31:L31)/5,"")</f>
        <v/>
      </c>
      <c r="AB31" s="7">
        <f>IFERROR(AVERAGE(O31:T31)/5,"")</f>
        <v/>
      </c>
      <c r="AC31" s="8" t="n"/>
      <c r="AD31" s="8" t="n"/>
    </row>
    <row r="32">
      <c r="A32" s="14" t="n">
        <v>16</v>
      </c>
      <c r="B32" s="14" t="n">
        <v>2</v>
      </c>
      <c r="C32" s="15" t="n">
        <v>46421</v>
      </c>
      <c r="D32" s="14" t="inlineStr">
        <is>
          <t>qua</t>
        </is>
      </c>
      <c r="E32" s="14" t="n">
        <v>45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7">
        <f>IFERROR(AVERAGE(G32:L32)/5,"")</f>
        <v/>
      </c>
      <c r="AB32" s="7">
        <f>IFERROR(AVERAGE(O32:T32)/5,"")</f>
        <v/>
      </c>
      <c r="AC32" s="8" t="n"/>
      <c r="AD32" s="8" t="n"/>
    </row>
    <row r="33">
      <c r="A33" s="14" t="n">
        <v>16</v>
      </c>
      <c r="B33" s="14" t="n">
        <v>2</v>
      </c>
      <c r="C33" s="15" t="n">
        <v>46422</v>
      </c>
      <c r="D33" s="14" t="inlineStr">
        <is>
          <t>qui</t>
        </is>
      </c>
      <c r="E33" s="14" t="n">
        <v>20</v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7">
        <f>IFERROR(AVERAGE(G33:L33)/5,"")</f>
        <v/>
      </c>
      <c r="AB33" s="7">
        <f>IFERROR(AVERAGE(O33:T33)/5,"")</f>
        <v/>
      </c>
      <c r="AC33" s="8" t="n"/>
      <c r="AD33" s="8" t="n"/>
    </row>
    <row r="34">
      <c r="A34" s="14" t="n">
        <v>17</v>
      </c>
      <c r="B34" s="14" t="n">
        <v>2</v>
      </c>
      <c r="C34" s="15" t="n">
        <v>46429</v>
      </c>
      <c r="D34" s="14" t="inlineStr">
        <is>
          <t>qui</t>
        </is>
      </c>
      <c r="E34" s="14" t="n">
        <v>20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7">
        <f>IFERROR(AVERAGE(G34:L34)/5,"")</f>
        <v/>
      </c>
      <c r="AB34" s="7">
        <f>IFERROR(AVERAGE(O34:T34)/5,"")</f>
        <v/>
      </c>
      <c r="AC34" s="8" t="n"/>
      <c r="AD34" s="8" t="n"/>
    </row>
    <row r="35">
      <c r="A35" s="14" t="n">
        <v>18</v>
      </c>
      <c r="B35" s="14" t="n">
        <v>2</v>
      </c>
      <c r="C35" s="15" t="n">
        <v>46435</v>
      </c>
      <c r="D35" s="14" t="inlineStr">
        <is>
          <t>qua</t>
        </is>
      </c>
      <c r="E35" s="14" t="n">
        <v>45</v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7">
        <f>IFERROR(AVERAGE(G35:L35)/5,"")</f>
        <v/>
      </c>
      <c r="AB35" s="7">
        <f>IFERROR(AVERAGE(O35:T35)/5,"")</f>
        <v/>
      </c>
      <c r="AC35" s="8" t="n"/>
      <c r="AD35" s="8" t="n"/>
    </row>
    <row r="36">
      <c r="A36" s="14" t="n">
        <v>18</v>
      </c>
      <c r="B36" s="14" t="n">
        <v>2</v>
      </c>
      <c r="C36" s="15" t="n">
        <v>46436</v>
      </c>
      <c r="D36" s="14" t="inlineStr">
        <is>
          <t>qui</t>
        </is>
      </c>
      <c r="E36" s="14" t="n">
        <v>20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7">
        <f>IFERROR(AVERAGE(G36:L36)/5,"")</f>
        <v/>
      </c>
      <c r="AB36" s="7">
        <f>IFERROR(AVERAGE(O36:T36)/5,"")</f>
        <v/>
      </c>
      <c r="AC36" s="8" t="n"/>
      <c r="AD36" s="8" t="n"/>
    </row>
    <row r="37">
      <c r="A37" s="14" t="n">
        <v>19</v>
      </c>
      <c r="B37" s="14" t="n">
        <v>2</v>
      </c>
      <c r="C37" s="15" t="n">
        <v>46442</v>
      </c>
      <c r="D37" s="14" t="inlineStr">
        <is>
          <t>qua</t>
        </is>
      </c>
      <c r="E37" s="14" t="n">
        <v>45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7">
        <f>IFERROR(AVERAGE(G37:L37)/5,"")</f>
        <v/>
      </c>
      <c r="AB37" s="7">
        <f>IFERROR(AVERAGE(O37:T37)/5,"")</f>
        <v/>
      </c>
      <c r="AC37" s="8" t="n"/>
      <c r="AD37" s="8" t="n"/>
    </row>
    <row r="38">
      <c r="A38" s="14" t="n">
        <v>19</v>
      </c>
      <c r="B38" s="14" t="n">
        <v>2</v>
      </c>
      <c r="C38" s="15" t="n">
        <v>46443</v>
      </c>
      <c r="D38" s="14" t="inlineStr">
        <is>
          <t>qui</t>
        </is>
      </c>
      <c r="E38" s="14" t="n">
        <v>20</v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7">
        <f>IFERROR(AVERAGE(G38:L38)/5,"")</f>
        <v/>
      </c>
      <c r="AB38" s="7">
        <f>IFERROR(AVERAGE(O38:T38)/5,"")</f>
        <v/>
      </c>
      <c r="AC38" s="8" t="n"/>
      <c r="AD38" s="8" t="n"/>
    </row>
    <row r="39">
      <c r="A39" s="14" t="n">
        <v>20</v>
      </c>
      <c r="B39" s="14" t="n">
        <v>2</v>
      </c>
      <c r="C39" s="15" t="n">
        <v>46449</v>
      </c>
      <c r="D39" s="14" t="inlineStr">
        <is>
          <t>qua</t>
        </is>
      </c>
      <c r="E39" s="14" t="n">
        <v>45</v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7">
        <f>IFERROR(AVERAGE(G39:L39)/5,"")</f>
        <v/>
      </c>
      <c r="AB39" s="7">
        <f>IFERROR(AVERAGE(O39:T39)/5,"")</f>
        <v/>
      </c>
      <c r="AC39" s="8" t="n"/>
      <c r="AD39" s="8" t="n"/>
    </row>
    <row r="40">
      <c r="A40" s="14" t="n">
        <v>20</v>
      </c>
      <c r="B40" s="14" t="n">
        <v>2</v>
      </c>
      <c r="C40" s="15" t="n">
        <v>46450</v>
      </c>
      <c r="D40" s="14" t="inlineStr">
        <is>
          <t>qui</t>
        </is>
      </c>
      <c r="E40" s="14" t="n">
        <v>20</v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7">
        <f>IFERROR(AVERAGE(G40:L40)/5,"")</f>
        <v/>
      </c>
      <c r="AB40" s="7">
        <f>IFERROR(AVERAGE(O40:T40)/5,"")</f>
        <v/>
      </c>
      <c r="AC40" s="8" t="n"/>
      <c r="AD40" s="8" t="n"/>
    </row>
    <row r="41">
      <c r="A41" s="16" t="n">
        <v>21</v>
      </c>
      <c r="B41" s="16" t="n">
        <v>2</v>
      </c>
      <c r="C41" s="17" t="n">
        <v>46456</v>
      </c>
      <c r="D41" s="16" t="inlineStr">
        <is>
          <t>qua</t>
        </is>
      </c>
      <c r="E41" s="16" t="n">
        <v>45</v>
      </c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2">
        <f>IFERROR(AVERAGE(G41:L41)/5,"")</f>
        <v/>
      </c>
      <c r="AB41" s="12">
        <f>IFERROR(AVERAGE(O41:T41)/5,"")</f>
        <v/>
      </c>
      <c r="AC41" s="13" t="n"/>
      <c r="AD41" s="13" t="inlineStr">
        <is>
          <t>TESTE I (2.º sem.) – Sib M/sol m + Rheinberger</t>
        </is>
      </c>
    </row>
    <row r="42">
      <c r="A42" s="14" t="n">
        <v>21</v>
      </c>
      <c r="B42" s="14" t="n">
        <v>2</v>
      </c>
      <c r="C42" s="15" t="n">
        <v>46457</v>
      </c>
      <c r="D42" s="14" t="inlineStr">
        <is>
          <t>qui</t>
        </is>
      </c>
      <c r="E42" s="14" t="n">
        <v>20</v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7">
        <f>IFERROR(AVERAGE(G42:L42)/5,"")</f>
        <v/>
      </c>
      <c r="AB42" s="7">
        <f>IFERROR(AVERAGE(O42:T42)/5,"")</f>
        <v/>
      </c>
      <c r="AC42" s="8" t="n"/>
      <c r="AD42" s="8" t="n"/>
    </row>
    <row r="43">
      <c r="A43" s="14" t="n">
        <v>22</v>
      </c>
      <c r="B43" s="14" t="n">
        <v>2</v>
      </c>
      <c r="C43" s="15" t="n">
        <v>46463</v>
      </c>
      <c r="D43" s="14" t="inlineStr">
        <is>
          <t>qua</t>
        </is>
      </c>
      <c r="E43" s="14" t="n">
        <v>45</v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7">
        <f>IFERROR(AVERAGE(G43:L43)/5,"")</f>
        <v/>
      </c>
      <c r="AB43" s="7">
        <f>IFERROR(AVERAGE(O43:T43)/5,"")</f>
        <v/>
      </c>
      <c r="AC43" s="8" t="n"/>
      <c r="AD43" s="8" t="n"/>
    </row>
    <row r="44">
      <c r="A44" s="14" t="n">
        <v>22</v>
      </c>
      <c r="B44" s="14" t="n">
        <v>2</v>
      </c>
      <c r="C44" s="15" t="n">
        <v>46464</v>
      </c>
      <c r="D44" s="14" t="inlineStr">
        <is>
          <t>qui</t>
        </is>
      </c>
      <c r="E44" s="14" t="n">
        <v>20</v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7">
        <f>IFERROR(AVERAGE(G44:L44)/5,"")</f>
        <v/>
      </c>
      <c r="AB44" s="7">
        <f>IFERROR(AVERAGE(O44:T44)/5,"")</f>
        <v/>
      </c>
      <c r="AC44" s="8" t="n"/>
      <c r="AD44" s="8" t="n"/>
    </row>
    <row r="45">
      <c r="A45" s="14" t="n">
        <v>23</v>
      </c>
      <c r="B45" s="14" t="n">
        <v>2</v>
      </c>
      <c r="C45" s="15" t="n">
        <v>46484</v>
      </c>
      <c r="D45" s="14" t="inlineStr">
        <is>
          <t>qua</t>
        </is>
      </c>
      <c r="E45" s="14" t="n">
        <v>45</v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7">
        <f>IFERROR(AVERAGE(G45:L45)/5,"")</f>
        <v/>
      </c>
      <c r="AB45" s="7">
        <f>IFERROR(AVERAGE(O45:T45)/5,"")</f>
        <v/>
      </c>
      <c r="AC45" s="8" t="n"/>
      <c r="AD45" s="8" t="n"/>
    </row>
    <row r="46">
      <c r="A46" s="14" t="n">
        <v>23</v>
      </c>
      <c r="B46" s="14" t="n">
        <v>2</v>
      </c>
      <c r="C46" s="15" t="n">
        <v>46485</v>
      </c>
      <c r="D46" s="14" t="inlineStr">
        <is>
          <t>qui</t>
        </is>
      </c>
      <c r="E46" s="14" t="n">
        <v>20</v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7">
        <f>IFERROR(AVERAGE(G46:L46)/5,"")</f>
        <v/>
      </c>
      <c r="AB46" s="7">
        <f>IFERROR(AVERAGE(O46:T46)/5,"")</f>
        <v/>
      </c>
      <c r="AC46" s="8" t="n"/>
      <c r="AD46" s="8" t="n"/>
    </row>
    <row r="47">
      <c r="A47" s="14" t="n">
        <v>24</v>
      </c>
      <c r="B47" s="14" t="n">
        <v>2</v>
      </c>
      <c r="C47" s="15" t="n">
        <v>46491</v>
      </c>
      <c r="D47" s="14" t="inlineStr">
        <is>
          <t>qua</t>
        </is>
      </c>
      <c r="E47" s="14" t="n">
        <v>45</v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7">
        <f>IFERROR(AVERAGE(G47:L47)/5,"")</f>
        <v/>
      </c>
      <c r="AB47" s="7">
        <f>IFERROR(AVERAGE(O47:T47)/5,"")</f>
        <v/>
      </c>
      <c r="AC47" s="8" t="n"/>
      <c r="AD47" s="8" t="n"/>
    </row>
    <row r="48">
      <c r="A48" s="14" t="n">
        <v>24</v>
      </c>
      <c r="B48" s="14" t="n">
        <v>2</v>
      </c>
      <c r="C48" s="15" t="n">
        <v>46492</v>
      </c>
      <c r="D48" s="14" t="inlineStr">
        <is>
          <t>qui</t>
        </is>
      </c>
      <c r="E48" s="14" t="n">
        <v>20</v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7">
        <f>IFERROR(AVERAGE(G48:L48)/5,"")</f>
        <v/>
      </c>
      <c r="AB48" s="7">
        <f>IFERROR(AVERAGE(O48:T48)/5,"")</f>
        <v/>
      </c>
      <c r="AC48" s="8" t="n"/>
      <c r="AD48" s="8" t="n"/>
    </row>
    <row r="49">
      <c r="A49" s="14" t="n">
        <v>25</v>
      </c>
      <c r="B49" s="14" t="n">
        <v>2</v>
      </c>
      <c r="C49" s="15" t="n">
        <v>46498</v>
      </c>
      <c r="D49" s="14" t="inlineStr">
        <is>
          <t>qua</t>
        </is>
      </c>
      <c r="E49" s="14" t="n">
        <v>45</v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7">
        <f>IFERROR(AVERAGE(G49:L49)/5,"")</f>
        <v/>
      </c>
      <c r="AB49" s="7">
        <f>IFERROR(AVERAGE(O49:T49)/5,"")</f>
        <v/>
      </c>
      <c r="AC49" s="8" t="n"/>
      <c r="AD49" s="8" t="n"/>
    </row>
    <row r="50">
      <c r="A50" s="14" t="n">
        <v>25</v>
      </c>
      <c r="B50" s="14" t="n">
        <v>2</v>
      </c>
      <c r="C50" s="15" t="n">
        <v>46499</v>
      </c>
      <c r="D50" s="14" t="inlineStr">
        <is>
          <t>qui</t>
        </is>
      </c>
      <c r="E50" s="14" t="n">
        <v>20</v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7">
        <f>IFERROR(AVERAGE(G50:L50)/5,"")</f>
        <v/>
      </c>
      <c r="AB50" s="7">
        <f>IFERROR(AVERAGE(O50:T50)/5,"")</f>
        <v/>
      </c>
      <c r="AC50" s="8" t="n"/>
      <c r="AD50" s="8" t="n"/>
    </row>
    <row r="51">
      <c r="A51" s="16" t="n">
        <v>26</v>
      </c>
      <c r="B51" s="16" t="n">
        <v>2</v>
      </c>
      <c r="C51" s="17" t="n">
        <v>46505</v>
      </c>
      <c r="D51" s="16" t="inlineStr">
        <is>
          <t>qua</t>
        </is>
      </c>
      <c r="E51" s="16" t="n">
        <v>45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2">
        <f>IFERROR(AVERAGE(G51:L51)/5,"")</f>
        <v/>
      </c>
      <c r="AB51" s="12">
        <f>IFERROR(AVERAGE(O51:T51)/5,"")</f>
        <v/>
      </c>
      <c r="AC51" s="13" t="n"/>
      <c r="AD51" s="13" t="inlineStr">
        <is>
          <t>TESTE II (2.º sem.) – Mib M/dó m + Prelúdio + Pachelbel</t>
        </is>
      </c>
    </row>
    <row r="52">
      <c r="A52" s="14" t="n">
        <v>26</v>
      </c>
      <c r="B52" s="14" t="n">
        <v>2</v>
      </c>
      <c r="C52" s="15" t="n">
        <v>46506</v>
      </c>
      <c r="D52" s="14" t="inlineStr">
        <is>
          <t>qui</t>
        </is>
      </c>
      <c r="E52" s="14" t="n">
        <v>20</v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7">
        <f>IFERROR(AVERAGE(G52:L52)/5,"")</f>
        <v/>
      </c>
      <c r="AB52" s="7">
        <f>IFERROR(AVERAGE(O52:T52)/5,"")</f>
        <v/>
      </c>
      <c r="AC52" s="8" t="n"/>
      <c r="AD52" s="8" t="n"/>
    </row>
    <row r="53">
      <c r="A53" s="14" t="n">
        <v>27</v>
      </c>
      <c r="B53" s="14" t="n">
        <v>2</v>
      </c>
      <c r="C53" s="15" t="n">
        <v>46512</v>
      </c>
      <c r="D53" s="14" t="inlineStr">
        <is>
          <t>qua</t>
        </is>
      </c>
      <c r="E53" s="14" t="n">
        <v>45</v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7">
        <f>IFERROR(AVERAGE(G53:L53)/5,"")</f>
        <v/>
      </c>
      <c r="AB53" s="7">
        <f>IFERROR(AVERAGE(O53:T53)/5,"")</f>
        <v/>
      </c>
      <c r="AC53" s="8" t="n"/>
      <c r="AD53" s="8" t="n"/>
    </row>
    <row r="54">
      <c r="A54" s="14" t="n">
        <v>27</v>
      </c>
      <c r="B54" s="14" t="n">
        <v>2</v>
      </c>
      <c r="C54" s="15" t="n">
        <v>46513</v>
      </c>
      <c r="D54" s="14" t="inlineStr">
        <is>
          <t>qui</t>
        </is>
      </c>
      <c r="E54" s="14" t="n">
        <v>20</v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7">
        <f>IFERROR(AVERAGE(G54:L54)/5,"")</f>
        <v/>
      </c>
      <c r="AB54" s="7">
        <f>IFERROR(AVERAGE(O54:T54)/5,"")</f>
        <v/>
      </c>
      <c r="AC54" s="8" t="n"/>
      <c r="AD54" s="8" t="n"/>
    </row>
    <row r="55">
      <c r="A55" s="14" t="n">
        <v>28</v>
      </c>
      <c r="B55" s="14" t="n">
        <v>2</v>
      </c>
      <c r="C55" s="15" t="n">
        <v>46519</v>
      </c>
      <c r="D55" s="14" t="inlineStr">
        <is>
          <t>qua</t>
        </is>
      </c>
      <c r="E55" s="14" t="n">
        <v>45</v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7">
        <f>IFERROR(AVERAGE(G55:L55)/5,"")</f>
        <v/>
      </c>
      <c r="AB55" s="7">
        <f>IFERROR(AVERAGE(O55:T55)/5,"")</f>
        <v/>
      </c>
      <c r="AC55" s="8" t="n"/>
      <c r="AD55" s="8" t="n"/>
    </row>
    <row r="56">
      <c r="A56" s="14" t="n">
        <v>28</v>
      </c>
      <c r="B56" s="14" t="n">
        <v>2</v>
      </c>
      <c r="C56" s="15" t="n">
        <v>46520</v>
      </c>
      <c r="D56" s="14" t="inlineStr">
        <is>
          <t>qui</t>
        </is>
      </c>
      <c r="E56" s="14" t="n">
        <v>20</v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7">
        <f>IFERROR(AVERAGE(G56:L56)/5,"")</f>
        <v/>
      </c>
      <c r="AB56" s="7">
        <f>IFERROR(AVERAGE(O56:T56)/5,"")</f>
        <v/>
      </c>
      <c r="AC56" s="8" t="n"/>
      <c r="AD56" s="8" t="n"/>
    </row>
    <row r="57">
      <c r="A57" s="14" t="n">
        <v>29</v>
      </c>
      <c r="B57" s="14" t="n">
        <v>2</v>
      </c>
      <c r="C57" s="15" t="n">
        <v>46526</v>
      </c>
      <c r="D57" s="14" t="inlineStr">
        <is>
          <t>qua</t>
        </is>
      </c>
      <c r="E57" s="14" t="n">
        <v>45</v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7">
        <f>IFERROR(AVERAGE(G57:L57)/5,"")</f>
        <v/>
      </c>
      <c r="AB57" s="7">
        <f>IFERROR(AVERAGE(O57:T57)/5,"")</f>
        <v/>
      </c>
      <c r="AC57" s="8" t="n"/>
      <c r="AD57" s="8" t="n"/>
    </row>
    <row r="58">
      <c r="A58" s="14" t="n">
        <v>29</v>
      </c>
      <c r="B58" s="14" t="n">
        <v>2</v>
      </c>
      <c r="C58" s="15" t="n">
        <v>46527</v>
      </c>
      <c r="D58" s="14" t="inlineStr">
        <is>
          <t>qui</t>
        </is>
      </c>
      <c r="E58" s="14" t="n">
        <v>20</v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7">
        <f>IFERROR(AVERAGE(G58:L58)/5,"")</f>
        <v/>
      </c>
      <c r="AB58" s="7">
        <f>IFERROR(AVERAGE(O58:T58)/5,"")</f>
        <v/>
      </c>
      <c r="AC58" s="8" t="n"/>
      <c r="AD58" s="8" t="n"/>
    </row>
    <row r="59">
      <c r="A59" s="14" t="n">
        <v>30</v>
      </c>
      <c r="B59" s="14" t="n">
        <v>2</v>
      </c>
      <c r="C59" s="15" t="n">
        <v>46533</v>
      </c>
      <c r="D59" s="14" t="inlineStr">
        <is>
          <t>qua</t>
        </is>
      </c>
      <c r="E59" s="14" t="n">
        <v>45</v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7">
        <f>IFERROR(AVERAGE(G59:L59)/5,"")</f>
        <v/>
      </c>
      <c r="AB59" s="7">
        <f>IFERROR(AVERAGE(O59:T59)/5,"")</f>
        <v/>
      </c>
      <c r="AC59" s="8" t="n"/>
      <c r="AD59" s="8" t="n"/>
    </row>
    <row r="60">
      <c r="A60" s="14" t="n">
        <v>31</v>
      </c>
      <c r="B60" s="14" t="n">
        <v>2</v>
      </c>
      <c r="C60" s="15" t="n">
        <v>46540</v>
      </c>
      <c r="D60" s="14" t="inlineStr">
        <is>
          <t>qua</t>
        </is>
      </c>
      <c r="E60" s="14" t="n">
        <v>45</v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7">
        <f>IFERROR(AVERAGE(G60:L60)/5,"")</f>
        <v/>
      </c>
      <c r="AB60" s="7">
        <f>IFERROR(AVERAGE(O60:T60)/5,"")</f>
        <v/>
      </c>
      <c r="AC60" s="8" t="n"/>
      <c r="AD60" s="8" t="n"/>
    </row>
    <row r="61">
      <c r="A61" s="14" t="n">
        <v>31</v>
      </c>
      <c r="B61" s="14" t="n">
        <v>2</v>
      </c>
      <c r="C61" s="15" t="n">
        <v>46541</v>
      </c>
      <c r="D61" s="14" t="inlineStr">
        <is>
          <t>qui</t>
        </is>
      </c>
      <c r="E61" s="14" t="n">
        <v>20</v>
      </c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7">
        <f>IFERROR(AVERAGE(G61:L61)/5,"")</f>
        <v/>
      </c>
      <c r="AB61" s="7">
        <f>IFERROR(AVERAGE(O61:T61)/5,"")</f>
        <v/>
      </c>
      <c r="AC61" s="8" t="n"/>
      <c r="AD61" s="8" t="n"/>
    </row>
    <row r="62">
      <c r="A62" s="14" t="n">
        <v>32</v>
      </c>
      <c r="B62" s="14" t="n">
        <v>2</v>
      </c>
      <c r="C62" s="15" t="n">
        <v>46547</v>
      </c>
      <c r="D62" s="14" t="inlineStr">
        <is>
          <t>qua</t>
        </is>
      </c>
      <c r="E62" s="14" t="n">
        <v>45</v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7">
        <f>IFERROR(AVERAGE(G62:L62)/5,"")</f>
        <v/>
      </c>
      <c r="AB62" s="7">
        <f>IFERROR(AVERAGE(O62:T62)/5,"")</f>
        <v/>
      </c>
      <c r="AC62" s="8" t="n"/>
      <c r="AD62" s="8" t="n"/>
    </row>
  </sheetData>
  <conditionalFormatting sqref="AA2:AA62">
    <cfRule type="cellIs" priority="1" operator="lessThan" dxfId="0">
      <formula>0.5</formula>
    </cfRule>
    <cfRule type="cellIs" priority="2" operator="greaterThanOrEqual" dxfId="1">
      <formula>0.7</formula>
    </cfRule>
  </conditionalFormatting>
  <conditionalFormatting sqref="AB2:AB62">
    <cfRule type="cellIs" priority="3" operator="lessThan" dxfId="0">
      <formula>0.5</formula>
    </cfRule>
    <cfRule type="cellIs" priority="4" operator="greaterThanOrEqual" dxfId="1">
      <formula>0.7</formula>
    </cfRule>
  </conditionalFormatting>
  <dataValidations count="3">
    <dataValidation sqref="G2:G62 H2:H62 I2:I62 J2:J62 K2:K62 L2:L62 O2:O62 P2:P62 Q2:Q62 R2:R62 S2:S62 T2:T62" showDropDown="0" showInputMessage="0" showErrorMessage="1" allowBlank="0" error="Valor de 1 a 5" type="whole" operator="between">
      <formula1>1</formula1>
      <formula2>5</formula2>
    </dataValidation>
    <dataValidation sqref="F2:F62" showDropDown="0" showInputMessage="0" showErrorMessage="0" allowBlank="0" type="list">
      <formula1>"P,F,FJ,PM"</formula1>
    </dataValidation>
    <dataValidation sqref="X2:X62" showDropDown="0" showInputMessage="0" showErrorMessage="0" allowBlank="0" type="list">
      <formula1>"Seixas,Loeillet,Langlais,Rheinberger,Pachelbel,Prelúdio Bach,Outra"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7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3" customWidth="1" min="11" max="11"/>
    <col width="60" customWidth="1" min="12" max="12"/>
  </cols>
  <sheetData>
    <row r="1" ht="48" customHeight="1">
      <c r="A1" s="3" t="inlineStr">
        <is>
          <t>Sem.</t>
        </is>
      </c>
      <c r="B1" s="3" t="inlineStr">
        <is>
          <t>Semestre</t>
        </is>
      </c>
      <c r="C1" s="3" t="inlineStr">
        <is>
          <t>Início (qua)</t>
        </is>
      </c>
      <c r="D1" s="3" t="inlineStr">
        <is>
          <t>N.º aulas</t>
        </is>
      </c>
      <c r="E1" s="3" t="inlineStr">
        <is>
          <t>Faltas</t>
        </is>
      </c>
      <c r="F1" s="3" t="inlineStr">
        <is>
          <t>Atitudinal
média</t>
        </is>
      </c>
      <c r="G1" s="3" t="inlineStr">
        <is>
          <t>Tarefas
média</t>
        </is>
      </c>
      <c r="H1" s="3" t="inlineStr">
        <is>
          <t>Concentração
média</t>
        </is>
      </c>
      <c r="I1" s="3" t="inlineStr">
        <is>
          <t>Clave de fá
máx. notas/min</t>
        </is>
      </c>
      <c r="J1" s="3" t="inlineStr">
        <is>
          <t>Dias estudo
(máx.)</t>
        </is>
      </c>
      <c r="K1" s="3" t="inlineStr">
        <is>
          <t>Meta semanal
cumprida? (S/N)</t>
        </is>
      </c>
      <c r="L1" s="3" t="inlineStr">
        <is>
          <t>Metas / notas da semana</t>
        </is>
      </c>
    </row>
    <row r="2">
      <c r="A2" s="4" t="n">
        <v>1</v>
      </c>
      <c r="B2" s="4" t="n">
        <v>1</v>
      </c>
      <c r="C2" s="5" t="n">
        <v>46295</v>
      </c>
      <c r="D2" s="4">
        <f>COUNTIF('Registo de aulas'!A:A,A2)</f>
        <v/>
      </c>
      <c r="E2" s="4">
        <f>COUNTIFS('Registo de aulas'!A:A,A2,'Registo de aulas'!F:F,"F")+COUNTIFS('Registo de aulas'!A:A,A2,'Registo de aulas'!F:F,"FJ")</f>
        <v/>
      </c>
      <c r="F2" s="18">
        <f>IFERROR(AVERAGEIFS('Registo de aulas'!AA:AA,'Registo de aulas'!A:A,A2),"")</f>
        <v/>
      </c>
      <c r="G2" s="18">
        <f>IFERROR(AVERAGEIFS('Registo de aulas'!AB:AB,'Registo de aulas'!A:A,A2),"")</f>
        <v/>
      </c>
      <c r="H2" s="19">
        <f>IFERROR(AVERAGEIFS('Registo de aulas'!J:J,'Registo de aulas'!A:A,A2),"")</f>
        <v/>
      </c>
      <c r="I2" s="4">
        <f>IFERROR(MAXIFS('Registo de aulas'!U:U,'Registo de aulas'!A:A,A2),"")</f>
        <v/>
      </c>
      <c r="J2" s="4">
        <f>IFERROR(MAXIFS('Registo de aulas'!M:M,'Registo de aulas'!A:A,A2),"")</f>
        <v/>
      </c>
      <c r="K2" s="6" t="n"/>
      <c r="L2" s="20" t="n"/>
    </row>
    <row r="3">
      <c r="A3" s="4" t="n">
        <v>2</v>
      </c>
      <c r="B3" s="4" t="n">
        <v>1</v>
      </c>
      <c r="C3" s="5" t="n">
        <v>46302</v>
      </c>
      <c r="D3" s="4">
        <f>COUNTIF('Registo de aulas'!A:A,A3)</f>
        <v/>
      </c>
      <c r="E3" s="4">
        <f>COUNTIFS('Registo de aulas'!A:A,A3,'Registo de aulas'!F:F,"F")+COUNTIFS('Registo de aulas'!A:A,A3,'Registo de aulas'!F:F,"FJ")</f>
        <v/>
      </c>
      <c r="F3" s="18">
        <f>IFERROR(AVERAGEIFS('Registo de aulas'!AA:AA,'Registo de aulas'!A:A,A3),"")</f>
        <v/>
      </c>
      <c r="G3" s="18">
        <f>IFERROR(AVERAGEIFS('Registo de aulas'!AB:AB,'Registo de aulas'!A:A,A3),"")</f>
        <v/>
      </c>
      <c r="H3" s="19">
        <f>IFERROR(AVERAGEIFS('Registo de aulas'!J:J,'Registo de aulas'!A:A,A3),"")</f>
        <v/>
      </c>
      <c r="I3" s="4">
        <f>IFERROR(MAXIFS('Registo de aulas'!U:U,'Registo de aulas'!A:A,A3),"")</f>
        <v/>
      </c>
      <c r="J3" s="4">
        <f>IFERROR(MAXIFS('Registo de aulas'!M:M,'Registo de aulas'!A:A,A3),"")</f>
        <v/>
      </c>
      <c r="K3" s="6" t="n"/>
      <c r="L3" s="20" t="n"/>
    </row>
    <row r="4">
      <c r="A4" s="4" t="n">
        <v>3</v>
      </c>
      <c r="B4" s="4" t="n">
        <v>1</v>
      </c>
      <c r="C4" s="5" t="n">
        <v>46309</v>
      </c>
      <c r="D4" s="4">
        <f>COUNTIF('Registo de aulas'!A:A,A4)</f>
        <v/>
      </c>
      <c r="E4" s="4">
        <f>COUNTIFS('Registo de aulas'!A:A,A4,'Registo de aulas'!F:F,"F")+COUNTIFS('Registo de aulas'!A:A,A4,'Registo de aulas'!F:F,"FJ")</f>
        <v/>
      </c>
      <c r="F4" s="18">
        <f>IFERROR(AVERAGEIFS('Registo de aulas'!AA:AA,'Registo de aulas'!A:A,A4),"")</f>
        <v/>
      </c>
      <c r="G4" s="18">
        <f>IFERROR(AVERAGEIFS('Registo de aulas'!AB:AB,'Registo de aulas'!A:A,A4),"")</f>
        <v/>
      </c>
      <c r="H4" s="19">
        <f>IFERROR(AVERAGEIFS('Registo de aulas'!J:J,'Registo de aulas'!A:A,A4),"")</f>
        <v/>
      </c>
      <c r="I4" s="4">
        <f>IFERROR(MAXIFS('Registo de aulas'!U:U,'Registo de aulas'!A:A,A4),"")</f>
        <v/>
      </c>
      <c r="J4" s="4">
        <f>IFERROR(MAXIFS('Registo de aulas'!M:M,'Registo de aulas'!A:A,A4),"")</f>
        <v/>
      </c>
      <c r="K4" s="6" t="n"/>
      <c r="L4" s="20" t="n"/>
    </row>
    <row r="5">
      <c r="A5" s="4" t="n">
        <v>4</v>
      </c>
      <c r="B5" s="4" t="n">
        <v>1</v>
      </c>
      <c r="C5" s="5" t="n">
        <v>46316</v>
      </c>
      <c r="D5" s="4">
        <f>COUNTIF('Registo de aulas'!A:A,A5)</f>
        <v/>
      </c>
      <c r="E5" s="4">
        <f>COUNTIFS('Registo de aulas'!A:A,A5,'Registo de aulas'!F:F,"F")+COUNTIFS('Registo de aulas'!A:A,A5,'Registo de aulas'!F:F,"FJ")</f>
        <v/>
      </c>
      <c r="F5" s="18">
        <f>IFERROR(AVERAGEIFS('Registo de aulas'!AA:AA,'Registo de aulas'!A:A,A5),"")</f>
        <v/>
      </c>
      <c r="G5" s="18">
        <f>IFERROR(AVERAGEIFS('Registo de aulas'!AB:AB,'Registo de aulas'!A:A,A5),"")</f>
        <v/>
      </c>
      <c r="H5" s="19">
        <f>IFERROR(AVERAGEIFS('Registo de aulas'!J:J,'Registo de aulas'!A:A,A5),"")</f>
        <v/>
      </c>
      <c r="I5" s="4">
        <f>IFERROR(MAXIFS('Registo de aulas'!U:U,'Registo de aulas'!A:A,A5),"")</f>
        <v/>
      </c>
      <c r="J5" s="4">
        <f>IFERROR(MAXIFS('Registo de aulas'!M:M,'Registo de aulas'!A:A,A5),"")</f>
        <v/>
      </c>
      <c r="K5" s="6" t="n"/>
      <c r="L5" s="20" t="n"/>
    </row>
    <row r="6">
      <c r="A6" s="4" t="n">
        <v>5</v>
      </c>
      <c r="B6" s="4" t="n">
        <v>1</v>
      </c>
      <c r="C6" s="5" t="n">
        <v>46323</v>
      </c>
      <c r="D6" s="4">
        <f>COUNTIF('Registo de aulas'!A:A,A6)</f>
        <v/>
      </c>
      <c r="E6" s="4">
        <f>COUNTIFS('Registo de aulas'!A:A,A6,'Registo de aulas'!F:F,"F")+COUNTIFS('Registo de aulas'!A:A,A6,'Registo de aulas'!F:F,"FJ")</f>
        <v/>
      </c>
      <c r="F6" s="18">
        <f>IFERROR(AVERAGEIFS('Registo de aulas'!AA:AA,'Registo de aulas'!A:A,A6),"")</f>
        <v/>
      </c>
      <c r="G6" s="18">
        <f>IFERROR(AVERAGEIFS('Registo de aulas'!AB:AB,'Registo de aulas'!A:A,A6),"")</f>
        <v/>
      </c>
      <c r="H6" s="19">
        <f>IFERROR(AVERAGEIFS('Registo de aulas'!J:J,'Registo de aulas'!A:A,A6),"")</f>
        <v/>
      </c>
      <c r="I6" s="4">
        <f>IFERROR(MAXIFS('Registo de aulas'!U:U,'Registo de aulas'!A:A,A6),"")</f>
        <v/>
      </c>
      <c r="J6" s="4">
        <f>IFERROR(MAXIFS('Registo de aulas'!M:M,'Registo de aulas'!A:A,A6),"")</f>
        <v/>
      </c>
      <c r="K6" s="6" t="n"/>
      <c r="L6" s="20" t="n"/>
    </row>
    <row r="7">
      <c r="A7" s="4" t="n">
        <v>6</v>
      </c>
      <c r="B7" s="4" t="n">
        <v>1</v>
      </c>
      <c r="C7" s="5" t="n">
        <v>46330</v>
      </c>
      <c r="D7" s="4">
        <f>COUNTIF('Registo de aulas'!A:A,A7)</f>
        <v/>
      </c>
      <c r="E7" s="4">
        <f>COUNTIFS('Registo de aulas'!A:A,A7,'Registo de aulas'!F:F,"F")+COUNTIFS('Registo de aulas'!A:A,A7,'Registo de aulas'!F:F,"FJ")</f>
        <v/>
      </c>
      <c r="F7" s="18">
        <f>IFERROR(AVERAGEIFS('Registo de aulas'!AA:AA,'Registo de aulas'!A:A,A7),"")</f>
        <v/>
      </c>
      <c r="G7" s="18">
        <f>IFERROR(AVERAGEIFS('Registo de aulas'!AB:AB,'Registo de aulas'!A:A,A7),"")</f>
        <v/>
      </c>
      <c r="H7" s="19">
        <f>IFERROR(AVERAGEIFS('Registo de aulas'!J:J,'Registo de aulas'!A:A,A7),"")</f>
        <v/>
      </c>
      <c r="I7" s="4">
        <f>IFERROR(MAXIFS('Registo de aulas'!U:U,'Registo de aulas'!A:A,A7),"")</f>
        <v/>
      </c>
      <c r="J7" s="4">
        <f>IFERROR(MAXIFS('Registo de aulas'!M:M,'Registo de aulas'!A:A,A7),"")</f>
        <v/>
      </c>
      <c r="K7" s="6" t="n"/>
      <c r="L7" s="20" t="n"/>
    </row>
    <row r="8">
      <c r="A8" s="4" t="n">
        <v>7</v>
      </c>
      <c r="B8" s="4" t="n">
        <v>1</v>
      </c>
      <c r="C8" s="5" t="n">
        <v>46337</v>
      </c>
      <c r="D8" s="4">
        <f>COUNTIF('Registo de aulas'!A:A,A8)</f>
        <v/>
      </c>
      <c r="E8" s="4">
        <f>COUNTIFS('Registo de aulas'!A:A,A8,'Registo de aulas'!F:F,"F")+COUNTIFS('Registo de aulas'!A:A,A8,'Registo de aulas'!F:F,"FJ")</f>
        <v/>
      </c>
      <c r="F8" s="18">
        <f>IFERROR(AVERAGEIFS('Registo de aulas'!AA:AA,'Registo de aulas'!A:A,A8),"")</f>
        <v/>
      </c>
      <c r="G8" s="18">
        <f>IFERROR(AVERAGEIFS('Registo de aulas'!AB:AB,'Registo de aulas'!A:A,A8),"")</f>
        <v/>
      </c>
      <c r="H8" s="19">
        <f>IFERROR(AVERAGEIFS('Registo de aulas'!J:J,'Registo de aulas'!A:A,A8),"")</f>
        <v/>
      </c>
      <c r="I8" s="4">
        <f>IFERROR(MAXIFS('Registo de aulas'!U:U,'Registo de aulas'!A:A,A8),"")</f>
        <v/>
      </c>
      <c r="J8" s="4">
        <f>IFERROR(MAXIFS('Registo de aulas'!M:M,'Registo de aulas'!A:A,A8),"")</f>
        <v/>
      </c>
      <c r="K8" s="6" t="n"/>
      <c r="L8" s="20" t="n"/>
    </row>
    <row r="9">
      <c r="A9" s="4" t="n">
        <v>8</v>
      </c>
      <c r="B9" s="4" t="n">
        <v>1</v>
      </c>
      <c r="C9" s="5" t="n">
        <v>46344</v>
      </c>
      <c r="D9" s="4">
        <f>COUNTIF('Registo de aulas'!A:A,A9)</f>
        <v/>
      </c>
      <c r="E9" s="4">
        <f>COUNTIFS('Registo de aulas'!A:A,A9,'Registo de aulas'!F:F,"F")+COUNTIFS('Registo de aulas'!A:A,A9,'Registo de aulas'!F:F,"FJ")</f>
        <v/>
      </c>
      <c r="F9" s="18">
        <f>IFERROR(AVERAGEIFS('Registo de aulas'!AA:AA,'Registo de aulas'!A:A,A9),"")</f>
        <v/>
      </c>
      <c r="G9" s="18">
        <f>IFERROR(AVERAGEIFS('Registo de aulas'!AB:AB,'Registo de aulas'!A:A,A9),"")</f>
        <v/>
      </c>
      <c r="H9" s="19">
        <f>IFERROR(AVERAGEIFS('Registo de aulas'!J:J,'Registo de aulas'!A:A,A9),"")</f>
        <v/>
      </c>
      <c r="I9" s="4">
        <f>IFERROR(MAXIFS('Registo de aulas'!U:U,'Registo de aulas'!A:A,A9),"")</f>
        <v/>
      </c>
      <c r="J9" s="4">
        <f>IFERROR(MAXIFS('Registo de aulas'!M:M,'Registo de aulas'!A:A,A9),"")</f>
        <v/>
      </c>
      <c r="K9" s="6" t="n"/>
      <c r="L9" s="20" t="n"/>
    </row>
    <row r="10">
      <c r="A10" s="4" t="n">
        <v>9</v>
      </c>
      <c r="B10" s="4" t="n">
        <v>1</v>
      </c>
      <c r="C10" s="5" t="n">
        <v>46351</v>
      </c>
      <c r="D10" s="4">
        <f>COUNTIF('Registo de aulas'!A:A,A10)</f>
        <v/>
      </c>
      <c r="E10" s="4">
        <f>COUNTIFS('Registo de aulas'!A:A,A10,'Registo de aulas'!F:F,"F")+COUNTIFS('Registo de aulas'!A:A,A10,'Registo de aulas'!F:F,"FJ")</f>
        <v/>
      </c>
      <c r="F10" s="18">
        <f>IFERROR(AVERAGEIFS('Registo de aulas'!AA:AA,'Registo de aulas'!A:A,A10),"")</f>
        <v/>
      </c>
      <c r="G10" s="18">
        <f>IFERROR(AVERAGEIFS('Registo de aulas'!AB:AB,'Registo de aulas'!A:A,A10),"")</f>
        <v/>
      </c>
      <c r="H10" s="19">
        <f>IFERROR(AVERAGEIFS('Registo de aulas'!J:J,'Registo de aulas'!A:A,A10),"")</f>
        <v/>
      </c>
      <c r="I10" s="4">
        <f>IFERROR(MAXIFS('Registo de aulas'!U:U,'Registo de aulas'!A:A,A10),"")</f>
        <v/>
      </c>
      <c r="J10" s="4">
        <f>IFERROR(MAXIFS('Registo de aulas'!M:M,'Registo de aulas'!A:A,A10),"")</f>
        <v/>
      </c>
      <c r="K10" s="6" t="n"/>
      <c r="L10" s="20" t="n"/>
    </row>
    <row r="11">
      <c r="A11" s="4" t="n">
        <v>10</v>
      </c>
      <c r="B11" s="4" t="n">
        <v>1</v>
      </c>
      <c r="C11" s="5" t="n">
        <v>46358</v>
      </c>
      <c r="D11" s="4">
        <f>COUNTIF('Registo de aulas'!A:A,A11)</f>
        <v/>
      </c>
      <c r="E11" s="4">
        <f>COUNTIFS('Registo de aulas'!A:A,A11,'Registo de aulas'!F:F,"F")+COUNTIFS('Registo de aulas'!A:A,A11,'Registo de aulas'!F:F,"FJ")</f>
        <v/>
      </c>
      <c r="F11" s="18">
        <f>IFERROR(AVERAGEIFS('Registo de aulas'!AA:AA,'Registo de aulas'!A:A,A11),"")</f>
        <v/>
      </c>
      <c r="G11" s="18">
        <f>IFERROR(AVERAGEIFS('Registo de aulas'!AB:AB,'Registo de aulas'!A:A,A11),"")</f>
        <v/>
      </c>
      <c r="H11" s="19">
        <f>IFERROR(AVERAGEIFS('Registo de aulas'!J:J,'Registo de aulas'!A:A,A11),"")</f>
        <v/>
      </c>
      <c r="I11" s="4">
        <f>IFERROR(MAXIFS('Registo de aulas'!U:U,'Registo de aulas'!A:A,A11),"")</f>
        <v/>
      </c>
      <c r="J11" s="4">
        <f>IFERROR(MAXIFS('Registo de aulas'!M:M,'Registo de aulas'!A:A,A11),"")</f>
        <v/>
      </c>
      <c r="K11" s="6" t="n"/>
      <c r="L11" s="20" t="n"/>
    </row>
    <row r="12">
      <c r="A12" s="4" t="n">
        <v>11</v>
      </c>
      <c r="B12" s="4" t="n">
        <v>1</v>
      </c>
      <c r="C12" s="5" t="n">
        <v>46365</v>
      </c>
      <c r="D12" s="4">
        <f>COUNTIF('Registo de aulas'!A:A,A12)</f>
        <v/>
      </c>
      <c r="E12" s="4">
        <f>COUNTIFS('Registo de aulas'!A:A,A12,'Registo de aulas'!F:F,"F")+COUNTIFS('Registo de aulas'!A:A,A12,'Registo de aulas'!F:F,"FJ")</f>
        <v/>
      </c>
      <c r="F12" s="18">
        <f>IFERROR(AVERAGEIFS('Registo de aulas'!AA:AA,'Registo de aulas'!A:A,A12),"")</f>
        <v/>
      </c>
      <c r="G12" s="18">
        <f>IFERROR(AVERAGEIFS('Registo de aulas'!AB:AB,'Registo de aulas'!A:A,A12),"")</f>
        <v/>
      </c>
      <c r="H12" s="19">
        <f>IFERROR(AVERAGEIFS('Registo de aulas'!J:J,'Registo de aulas'!A:A,A12),"")</f>
        <v/>
      </c>
      <c r="I12" s="4">
        <f>IFERROR(MAXIFS('Registo de aulas'!U:U,'Registo de aulas'!A:A,A12),"")</f>
        <v/>
      </c>
      <c r="J12" s="4">
        <f>IFERROR(MAXIFS('Registo de aulas'!M:M,'Registo de aulas'!A:A,A12),"")</f>
        <v/>
      </c>
      <c r="K12" s="6" t="n"/>
      <c r="L12" s="20" t="n"/>
    </row>
    <row r="13">
      <c r="A13" s="4" t="n">
        <v>12</v>
      </c>
      <c r="B13" s="4" t="n">
        <v>1</v>
      </c>
      <c r="C13" s="5" t="n">
        <v>46372</v>
      </c>
      <c r="D13" s="4">
        <f>COUNTIF('Registo de aulas'!A:A,A13)</f>
        <v/>
      </c>
      <c r="E13" s="4">
        <f>COUNTIFS('Registo de aulas'!A:A,A13,'Registo de aulas'!F:F,"F")+COUNTIFS('Registo de aulas'!A:A,A13,'Registo de aulas'!F:F,"FJ")</f>
        <v/>
      </c>
      <c r="F13" s="18">
        <f>IFERROR(AVERAGEIFS('Registo de aulas'!AA:AA,'Registo de aulas'!A:A,A13),"")</f>
        <v/>
      </c>
      <c r="G13" s="18">
        <f>IFERROR(AVERAGEIFS('Registo de aulas'!AB:AB,'Registo de aulas'!A:A,A13),"")</f>
        <v/>
      </c>
      <c r="H13" s="19">
        <f>IFERROR(AVERAGEIFS('Registo de aulas'!J:J,'Registo de aulas'!A:A,A13),"")</f>
        <v/>
      </c>
      <c r="I13" s="4">
        <f>IFERROR(MAXIFS('Registo de aulas'!U:U,'Registo de aulas'!A:A,A13),"")</f>
        <v/>
      </c>
      <c r="J13" s="4">
        <f>IFERROR(MAXIFS('Registo de aulas'!M:M,'Registo de aulas'!A:A,A13),"")</f>
        <v/>
      </c>
      <c r="K13" s="6" t="n"/>
      <c r="L13" s="20" t="n"/>
    </row>
    <row r="14">
      <c r="A14" s="4" t="n">
        <v>13</v>
      </c>
      <c r="B14" s="4" t="n">
        <v>1</v>
      </c>
      <c r="C14" s="5" t="n">
        <v>46393</v>
      </c>
      <c r="D14" s="4">
        <f>COUNTIF('Registo de aulas'!A:A,A14)</f>
        <v/>
      </c>
      <c r="E14" s="4">
        <f>COUNTIFS('Registo de aulas'!A:A,A14,'Registo de aulas'!F:F,"F")+COUNTIFS('Registo de aulas'!A:A,A14,'Registo de aulas'!F:F,"FJ")</f>
        <v/>
      </c>
      <c r="F14" s="18">
        <f>IFERROR(AVERAGEIFS('Registo de aulas'!AA:AA,'Registo de aulas'!A:A,A14),"")</f>
        <v/>
      </c>
      <c r="G14" s="18">
        <f>IFERROR(AVERAGEIFS('Registo de aulas'!AB:AB,'Registo de aulas'!A:A,A14),"")</f>
        <v/>
      </c>
      <c r="H14" s="19">
        <f>IFERROR(AVERAGEIFS('Registo de aulas'!J:J,'Registo de aulas'!A:A,A14),"")</f>
        <v/>
      </c>
      <c r="I14" s="4">
        <f>IFERROR(MAXIFS('Registo de aulas'!U:U,'Registo de aulas'!A:A,A14),"")</f>
        <v/>
      </c>
      <c r="J14" s="4">
        <f>IFERROR(MAXIFS('Registo de aulas'!M:M,'Registo de aulas'!A:A,A14),"")</f>
        <v/>
      </c>
      <c r="K14" s="6" t="n"/>
      <c r="L14" s="20" t="n"/>
    </row>
    <row r="15">
      <c r="A15" s="4" t="n">
        <v>14</v>
      </c>
      <c r="B15" s="4" t="n">
        <v>1</v>
      </c>
      <c r="C15" s="5" t="n">
        <v>46400</v>
      </c>
      <c r="D15" s="4">
        <f>COUNTIF('Registo de aulas'!A:A,A15)</f>
        <v/>
      </c>
      <c r="E15" s="4">
        <f>COUNTIFS('Registo de aulas'!A:A,A15,'Registo de aulas'!F:F,"F")+COUNTIFS('Registo de aulas'!A:A,A15,'Registo de aulas'!F:F,"FJ")</f>
        <v/>
      </c>
      <c r="F15" s="18">
        <f>IFERROR(AVERAGEIFS('Registo de aulas'!AA:AA,'Registo de aulas'!A:A,A15),"")</f>
        <v/>
      </c>
      <c r="G15" s="18">
        <f>IFERROR(AVERAGEIFS('Registo de aulas'!AB:AB,'Registo de aulas'!A:A,A15),"")</f>
        <v/>
      </c>
      <c r="H15" s="19">
        <f>IFERROR(AVERAGEIFS('Registo de aulas'!J:J,'Registo de aulas'!A:A,A15),"")</f>
        <v/>
      </c>
      <c r="I15" s="4">
        <f>IFERROR(MAXIFS('Registo de aulas'!U:U,'Registo de aulas'!A:A,A15),"")</f>
        <v/>
      </c>
      <c r="J15" s="4">
        <f>IFERROR(MAXIFS('Registo de aulas'!M:M,'Registo de aulas'!A:A,A15),"")</f>
        <v/>
      </c>
      <c r="K15" s="6" t="n"/>
      <c r="L15" s="20" t="n"/>
    </row>
    <row r="16">
      <c r="A16" s="4" t="n">
        <v>15</v>
      </c>
      <c r="B16" s="4" t="n">
        <v>1</v>
      </c>
      <c r="C16" s="5" t="n">
        <v>46407</v>
      </c>
      <c r="D16" s="4">
        <f>COUNTIF('Registo de aulas'!A:A,A16)</f>
        <v/>
      </c>
      <c r="E16" s="4">
        <f>COUNTIFS('Registo de aulas'!A:A,A16,'Registo de aulas'!F:F,"F")+COUNTIFS('Registo de aulas'!A:A,A16,'Registo de aulas'!F:F,"FJ")</f>
        <v/>
      </c>
      <c r="F16" s="18">
        <f>IFERROR(AVERAGEIFS('Registo de aulas'!AA:AA,'Registo de aulas'!A:A,A16),"")</f>
        <v/>
      </c>
      <c r="G16" s="18">
        <f>IFERROR(AVERAGEIFS('Registo de aulas'!AB:AB,'Registo de aulas'!A:A,A16),"")</f>
        <v/>
      </c>
      <c r="H16" s="19">
        <f>IFERROR(AVERAGEIFS('Registo de aulas'!J:J,'Registo de aulas'!A:A,A16),"")</f>
        <v/>
      </c>
      <c r="I16" s="4">
        <f>IFERROR(MAXIFS('Registo de aulas'!U:U,'Registo de aulas'!A:A,A16),"")</f>
        <v/>
      </c>
      <c r="J16" s="4">
        <f>IFERROR(MAXIFS('Registo de aulas'!M:M,'Registo de aulas'!A:A,A16),"")</f>
        <v/>
      </c>
      <c r="K16" s="6" t="n"/>
      <c r="L16" s="20" t="n"/>
    </row>
    <row r="17">
      <c r="A17" s="14" t="n">
        <v>16</v>
      </c>
      <c r="B17" s="14" t="n">
        <v>2</v>
      </c>
      <c r="C17" s="15" t="n">
        <v>46421</v>
      </c>
      <c r="D17" s="14">
        <f>COUNTIF('Registo de aulas'!A:A,A17)</f>
        <v/>
      </c>
      <c r="E17" s="14">
        <f>COUNTIFS('Registo de aulas'!A:A,A17,'Registo de aulas'!F:F,"F")+COUNTIFS('Registo de aulas'!A:A,A17,'Registo de aulas'!F:F,"FJ")</f>
        <v/>
      </c>
      <c r="F17" s="21">
        <f>IFERROR(AVERAGEIFS('Registo de aulas'!AA:AA,'Registo de aulas'!A:A,A17),"")</f>
        <v/>
      </c>
      <c r="G17" s="21">
        <f>IFERROR(AVERAGEIFS('Registo de aulas'!AB:AB,'Registo de aulas'!A:A,A17),"")</f>
        <v/>
      </c>
      <c r="H17" s="22">
        <f>IFERROR(AVERAGEIFS('Registo de aulas'!J:J,'Registo de aulas'!A:A,A17),"")</f>
        <v/>
      </c>
      <c r="I17" s="14">
        <f>IFERROR(MAXIFS('Registo de aulas'!U:U,'Registo de aulas'!A:A,A17),"")</f>
        <v/>
      </c>
      <c r="J17" s="14">
        <f>IFERROR(MAXIFS('Registo de aulas'!M:M,'Registo de aulas'!A:A,A17),"")</f>
        <v/>
      </c>
      <c r="K17" s="6" t="n"/>
      <c r="L17" s="20" t="n"/>
    </row>
    <row r="18">
      <c r="A18" s="14" t="n">
        <v>17</v>
      </c>
      <c r="B18" s="14" t="n">
        <v>2</v>
      </c>
      <c r="C18" s="15" t="n">
        <v>46428</v>
      </c>
      <c r="D18" s="14">
        <f>COUNTIF('Registo de aulas'!A:A,A18)</f>
        <v/>
      </c>
      <c r="E18" s="14">
        <f>COUNTIFS('Registo de aulas'!A:A,A18,'Registo de aulas'!F:F,"F")+COUNTIFS('Registo de aulas'!A:A,A18,'Registo de aulas'!F:F,"FJ")</f>
        <v/>
      </c>
      <c r="F18" s="21">
        <f>IFERROR(AVERAGEIFS('Registo de aulas'!AA:AA,'Registo de aulas'!A:A,A18),"")</f>
        <v/>
      </c>
      <c r="G18" s="21">
        <f>IFERROR(AVERAGEIFS('Registo de aulas'!AB:AB,'Registo de aulas'!A:A,A18),"")</f>
        <v/>
      </c>
      <c r="H18" s="22">
        <f>IFERROR(AVERAGEIFS('Registo de aulas'!J:J,'Registo de aulas'!A:A,A18),"")</f>
        <v/>
      </c>
      <c r="I18" s="14">
        <f>IFERROR(MAXIFS('Registo de aulas'!U:U,'Registo de aulas'!A:A,A18),"")</f>
        <v/>
      </c>
      <c r="J18" s="14">
        <f>IFERROR(MAXIFS('Registo de aulas'!M:M,'Registo de aulas'!A:A,A18),"")</f>
        <v/>
      </c>
      <c r="K18" s="6" t="n"/>
      <c r="L18" s="20" t="n"/>
    </row>
    <row r="19">
      <c r="A19" s="14" t="n">
        <v>18</v>
      </c>
      <c r="B19" s="14" t="n">
        <v>2</v>
      </c>
      <c r="C19" s="15" t="n">
        <v>46435</v>
      </c>
      <c r="D19" s="14">
        <f>COUNTIF('Registo de aulas'!A:A,A19)</f>
        <v/>
      </c>
      <c r="E19" s="14">
        <f>COUNTIFS('Registo de aulas'!A:A,A19,'Registo de aulas'!F:F,"F")+COUNTIFS('Registo de aulas'!A:A,A19,'Registo de aulas'!F:F,"FJ")</f>
        <v/>
      </c>
      <c r="F19" s="21">
        <f>IFERROR(AVERAGEIFS('Registo de aulas'!AA:AA,'Registo de aulas'!A:A,A19),"")</f>
        <v/>
      </c>
      <c r="G19" s="21">
        <f>IFERROR(AVERAGEIFS('Registo de aulas'!AB:AB,'Registo de aulas'!A:A,A19),"")</f>
        <v/>
      </c>
      <c r="H19" s="22">
        <f>IFERROR(AVERAGEIFS('Registo de aulas'!J:J,'Registo de aulas'!A:A,A19),"")</f>
        <v/>
      </c>
      <c r="I19" s="14">
        <f>IFERROR(MAXIFS('Registo de aulas'!U:U,'Registo de aulas'!A:A,A19),"")</f>
        <v/>
      </c>
      <c r="J19" s="14">
        <f>IFERROR(MAXIFS('Registo de aulas'!M:M,'Registo de aulas'!A:A,A19),"")</f>
        <v/>
      </c>
      <c r="K19" s="6" t="n"/>
      <c r="L19" s="20" t="n"/>
    </row>
    <row r="20">
      <c r="A20" s="14" t="n">
        <v>19</v>
      </c>
      <c r="B20" s="14" t="n">
        <v>2</v>
      </c>
      <c r="C20" s="15" t="n">
        <v>46442</v>
      </c>
      <c r="D20" s="14">
        <f>COUNTIF('Registo de aulas'!A:A,A20)</f>
        <v/>
      </c>
      <c r="E20" s="14">
        <f>COUNTIFS('Registo de aulas'!A:A,A20,'Registo de aulas'!F:F,"F")+COUNTIFS('Registo de aulas'!A:A,A20,'Registo de aulas'!F:F,"FJ")</f>
        <v/>
      </c>
      <c r="F20" s="21">
        <f>IFERROR(AVERAGEIFS('Registo de aulas'!AA:AA,'Registo de aulas'!A:A,A20),"")</f>
        <v/>
      </c>
      <c r="G20" s="21">
        <f>IFERROR(AVERAGEIFS('Registo de aulas'!AB:AB,'Registo de aulas'!A:A,A20),"")</f>
        <v/>
      </c>
      <c r="H20" s="22">
        <f>IFERROR(AVERAGEIFS('Registo de aulas'!J:J,'Registo de aulas'!A:A,A20),"")</f>
        <v/>
      </c>
      <c r="I20" s="14">
        <f>IFERROR(MAXIFS('Registo de aulas'!U:U,'Registo de aulas'!A:A,A20),"")</f>
        <v/>
      </c>
      <c r="J20" s="14">
        <f>IFERROR(MAXIFS('Registo de aulas'!M:M,'Registo de aulas'!A:A,A20),"")</f>
        <v/>
      </c>
      <c r="K20" s="6" t="n"/>
      <c r="L20" s="20" t="n"/>
    </row>
    <row r="21">
      <c r="A21" s="14" t="n">
        <v>20</v>
      </c>
      <c r="B21" s="14" t="n">
        <v>2</v>
      </c>
      <c r="C21" s="15" t="n">
        <v>46449</v>
      </c>
      <c r="D21" s="14">
        <f>COUNTIF('Registo de aulas'!A:A,A21)</f>
        <v/>
      </c>
      <c r="E21" s="14">
        <f>COUNTIFS('Registo de aulas'!A:A,A21,'Registo de aulas'!F:F,"F")+COUNTIFS('Registo de aulas'!A:A,A21,'Registo de aulas'!F:F,"FJ")</f>
        <v/>
      </c>
      <c r="F21" s="21">
        <f>IFERROR(AVERAGEIFS('Registo de aulas'!AA:AA,'Registo de aulas'!A:A,A21),"")</f>
        <v/>
      </c>
      <c r="G21" s="21">
        <f>IFERROR(AVERAGEIFS('Registo de aulas'!AB:AB,'Registo de aulas'!A:A,A21),"")</f>
        <v/>
      </c>
      <c r="H21" s="22">
        <f>IFERROR(AVERAGEIFS('Registo de aulas'!J:J,'Registo de aulas'!A:A,A21),"")</f>
        <v/>
      </c>
      <c r="I21" s="14">
        <f>IFERROR(MAXIFS('Registo de aulas'!U:U,'Registo de aulas'!A:A,A21),"")</f>
        <v/>
      </c>
      <c r="J21" s="14">
        <f>IFERROR(MAXIFS('Registo de aulas'!M:M,'Registo de aulas'!A:A,A21),"")</f>
        <v/>
      </c>
      <c r="K21" s="6" t="n"/>
      <c r="L21" s="20" t="n"/>
    </row>
    <row r="22">
      <c r="A22" s="14" t="n">
        <v>21</v>
      </c>
      <c r="B22" s="14" t="n">
        <v>2</v>
      </c>
      <c r="C22" s="15" t="n">
        <v>46456</v>
      </c>
      <c r="D22" s="14">
        <f>COUNTIF('Registo de aulas'!A:A,A22)</f>
        <v/>
      </c>
      <c r="E22" s="14">
        <f>COUNTIFS('Registo de aulas'!A:A,A22,'Registo de aulas'!F:F,"F")+COUNTIFS('Registo de aulas'!A:A,A22,'Registo de aulas'!F:F,"FJ")</f>
        <v/>
      </c>
      <c r="F22" s="21">
        <f>IFERROR(AVERAGEIFS('Registo de aulas'!AA:AA,'Registo de aulas'!A:A,A22),"")</f>
        <v/>
      </c>
      <c r="G22" s="21">
        <f>IFERROR(AVERAGEIFS('Registo de aulas'!AB:AB,'Registo de aulas'!A:A,A22),"")</f>
        <v/>
      </c>
      <c r="H22" s="22">
        <f>IFERROR(AVERAGEIFS('Registo de aulas'!J:J,'Registo de aulas'!A:A,A22),"")</f>
        <v/>
      </c>
      <c r="I22" s="14">
        <f>IFERROR(MAXIFS('Registo de aulas'!U:U,'Registo de aulas'!A:A,A22),"")</f>
        <v/>
      </c>
      <c r="J22" s="14">
        <f>IFERROR(MAXIFS('Registo de aulas'!M:M,'Registo de aulas'!A:A,A22),"")</f>
        <v/>
      </c>
      <c r="K22" s="6" t="n"/>
      <c r="L22" s="20" t="n"/>
    </row>
    <row r="23">
      <c r="A23" s="14" t="n">
        <v>22</v>
      </c>
      <c r="B23" s="14" t="n">
        <v>2</v>
      </c>
      <c r="C23" s="15" t="n">
        <v>46463</v>
      </c>
      <c r="D23" s="14">
        <f>COUNTIF('Registo de aulas'!A:A,A23)</f>
        <v/>
      </c>
      <c r="E23" s="14">
        <f>COUNTIFS('Registo de aulas'!A:A,A23,'Registo de aulas'!F:F,"F")+COUNTIFS('Registo de aulas'!A:A,A23,'Registo de aulas'!F:F,"FJ")</f>
        <v/>
      </c>
      <c r="F23" s="21">
        <f>IFERROR(AVERAGEIFS('Registo de aulas'!AA:AA,'Registo de aulas'!A:A,A23),"")</f>
        <v/>
      </c>
      <c r="G23" s="21">
        <f>IFERROR(AVERAGEIFS('Registo de aulas'!AB:AB,'Registo de aulas'!A:A,A23),"")</f>
        <v/>
      </c>
      <c r="H23" s="22">
        <f>IFERROR(AVERAGEIFS('Registo de aulas'!J:J,'Registo de aulas'!A:A,A23),"")</f>
        <v/>
      </c>
      <c r="I23" s="14">
        <f>IFERROR(MAXIFS('Registo de aulas'!U:U,'Registo de aulas'!A:A,A23),"")</f>
        <v/>
      </c>
      <c r="J23" s="14">
        <f>IFERROR(MAXIFS('Registo de aulas'!M:M,'Registo de aulas'!A:A,A23),"")</f>
        <v/>
      </c>
      <c r="K23" s="6" t="n"/>
      <c r="L23" s="20" t="n"/>
    </row>
    <row r="24">
      <c r="A24" s="14" t="n">
        <v>23</v>
      </c>
      <c r="B24" s="14" t="n">
        <v>2</v>
      </c>
      <c r="C24" s="15" t="n">
        <v>46484</v>
      </c>
      <c r="D24" s="14">
        <f>COUNTIF('Registo de aulas'!A:A,A24)</f>
        <v/>
      </c>
      <c r="E24" s="14">
        <f>COUNTIFS('Registo de aulas'!A:A,A24,'Registo de aulas'!F:F,"F")+COUNTIFS('Registo de aulas'!A:A,A24,'Registo de aulas'!F:F,"FJ")</f>
        <v/>
      </c>
      <c r="F24" s="21">
        <f>IFERROR(AVERAGEIFS('Registo de aulas'!AA:AA,'Registo de aulas'!A:A,A24),"")</f>
        <v/>
      </c>
      <c r="G24" s="21">
        <f>IFERROR(AVERAGEIFS('Registo de aulas'!AB:AB,'Registo de aulas'!A:A,A24),"")</f>
        <v/>
      </c>
      <c r="H24" s="22">
        <f>IFERROR(AVERAGEIFS('Registo de aulas'!J:J,'Registo de aulas'!A:A,A24),"")</f>
        <v/>
      </c>
      <c r="I24" s="14">
        <f>IFERROR(MAXIFS('Registo de aulas'!U:U,'Registo de aulas'!A:A,A24),"")</f>
        <v/>
      </c>
      <c r="J24" s="14">
        <f>IFERROR(MAXIFS('Registo de aulas'!M:M,'Registo de aulas'!A:A,A24),"")</f>
        <v/>
      </c>
      <c r="K24" s="6" t="n"/>
      <c r="L24" s="20" t="n"/>
    </row>
    <row r="25">
      <c r="A25" s="14" t="n">
        <v>24</v>
      </c>
      <c r="B25" s="14" t="n">
        <v>2</v>
      </c>
      <c r="C25" s="15" t="n">
        <v>46491</v>
      </c>
      <c r="D25" s="14">
        <f>COUNTIF('Registo de aulas'!A:A,A25)</f>
        <v/>
      </c>
      <c r="E25" s="14">
        <f>COUNTIFS('Registo de aulas'!A:A,A25,'Registo de aulas'!F:F,"F")+COUNTIFS('Registo de aulas'!A:A,A25,'Registo de aulas'!F:F,"FJ")</f>
        <v/>
      </c>
      <c r="F25" s="21">
        <f>IFERROR(AVERAGEIFS('Registo de aulas'!AA:AA,'Registo de aulas'!A:A,A25),"")</f>
        <v/>
      </c>
      <c r="G25" s="21">
        <f>IFERROR(AVERAGEIFS('Registo de aulas'!AB:AB,'Registo de aulas'!A:A,A25),"")</f>
        <v/>
      </c>
      <c r="H25" s="22">
        <f>IFERROR(AVERAGEIFS('Registo de aulas'!J:J,'Registo de aulas'!A:A,A25),"")</f>
        <v/>
      </c>
      <c r="I25" s="14">
        <f>IFERROR(MAXIFS('Registo de aulas'!U:U,'Registo de aulas'!A:A,A25),"")</f>
        <v/>
      </c>
      <c r="J25" s="14">
        <f>IFERROR(MAXIFS('Registo de aulas'!M:M,'Registo de aulas'!A:A,A25),"")</f>
        <v/>
      </c>
      <c r="K25" s="6" t="n"/>
      <c r="L25" s="20" t="n"/>
    </row>
    <row r="26">
      <c r="A26" s="14" t="n">
        <v>25</v>
      </c>
      <c r="B26" s="14" t="n">
        <v>2</v>
      </c>
      <c r="C26" s="15" t="n">
        <v>46498</v>
      </c>
      <c r="D26" s="14">
        <f>COUNTIF('Registo de aulas'!A:A,A26)</f>
        <v/>
      </c>
      <c r="E26" s="14">
        <f>COUNTIFS('Registo de aulas'!A:A,A26,'Registo de aulas'!F:F,"F")+COUNTIFS('Registo de aulas'!A:A,A26,'Registo de aulas'!F:F,"FJ")</f>
        <v/>
      </c>
      <c r="F26" s="21">
        <f>IFERROR(AVERAGEIFS('Registo de aulas'!AA:AA,'Registo de aulas'!A:A,A26),"")</f>
        <v/>
      </c>
      <c r="G26" s="21">
        <f>IFERROR(AVERAGEIFS('Registo de aulas'!AB:AB,'Registo de aulas'!A:A,A26),"")</f>
        <v/>
      </c>
      <c r="H26" s="22">
        <f>IFERROR(AVERAGEIFS('Registo de aulas'!J:J,'Registo de aulas'!A:A,A26),"")</f>
        <v/>
      </c>
      <c r="I26" s="14">
        <f>IFERROR(MAXIFS('Registo de aulas'!U:U,'Registo de aulas'!A:A,A26),"")</f>
        <v/>
      </c>
      <c r="J26" s="14">
        <f>IFERROR(MAXIFS('Registo de aulas'!M:M,'Registo de aulas'!A:A,A26),"")</f>
        <v/>
      </c>
      <c r="K26" s="6" t="n"/>
      <c r="L26" s="20" t="n"/>
    </row>
    <row r="27">
      <c r="A27" s="14" t="n">
        <v>26</v>
      </c>
      <c r="B27" s="14" t="n">
        <v>2</v>
      </c>
      <c r="C27" s="15" t="n">
        <v>46505</v>
      </c>
      <c r="D27" s="14">
        <f>COUNTIF('Registo de aulas'!A:A,A27)</f>
        <v/>
      </c>
      <c r="E27" s="14">
        <f>COUNTIFS('Registo de aulas'!A:A,A27,'Registo de aulas'!F:F,"F")+COUNTIFS('Registo de aulas'!A:A,A27,'Registo de aulas'!F:F,"FJ")</f>
        <v/>
      </c>
      <c r="F27" s="21">
        <f>IFERROR(AVERAGEIFS('Registo de aulas'!AA:AA,'Registo de aulas'!A:A,A27),"")</f>
        <v/>
      </c>
      <c r="G27" s="21">
        <f>IFERROR(AVERAGEIFS('Registo de aulas'!AB:AB,'Registo de aulas'!A:A,A27),"")</f>
        <v/>
      </c>
      <c r="H27" s="22">
        <f>IFERROR(AVERAGEIFS('Registo de aulas'!J:J,'Registo de aulas'!A:A,A27),"")</f>
        <v/>
      </c>
      <c r="I27" s="14">
        <f>IFERROR(MAXIFS('Registo de aulas'!U:U,'Registo de aulas'!A:A,A27),"")</f>
        <v/>
      </c>
      <c r="J27" s="14">
        <f>IFERROR(MAXIFS('Registo de aulas'!M:M,'Registo de aulas'!A:A,A27),"")</f>
        <v/>
      </c>
      <c r="K27" s="6" t="n"/>
      <c r="L27" s="20" t="n"/>
    </row>
    <row r="28">
      <c r="A28" s="14" t="n">
        <v>27</v>
      </c>
      <c r="B28" s="14" t="n">
        <v>2</v>
      </c>
      <c r="C28" s="15" t="n">
        <v>46512</v>
      </c>
      <c r="D28" s="14">
        <f>COUNTIF('Registo de aulas'!A:A,A28)</f>
        <v/>
      </c>
      <c r="E28" s="14">
        <f>COUNTIFS('Registo de aulas'!A:A,A28,'Registo de aulas'!F:F,"F")+COUNTIFS('Registo de aulas'!A:A,A28,'Registo de aulas'!F:F,"FJ")</f>
        <v/>
      </c>
      <c r="F28" s="21">
        <f>IFERROR(AVERAGEIFS('Registo de aulas'!AA:AA,'Registo de aulas'!A:A,A28),"")</f>
        <v/>
      </c>
      <c r="G28" s="21">
        <f>IFERROR(AVERAGEIFS('Registo de aulas'!AB:AB,'Registo de aulas'!A:A,A28),"")</f>
        <v/>
      </c>
      <c r="H28" s="22">
        <f>IFERROR(AVERAGEIFS('Registo de aulas'!J:J,'Registo de aulas'!A:A,A28),"")</f>
        <v/>
      </c>
      <c r="I28" s="14">
        <f>IFERROR(MAXIFS('Registo de aulas'!U:U,'Registo de aulas'!A:A,A28),"")</f>
        <v/>
      </c>
      <c r="J28" s="14">
        <f>IFERROR(MAXIFS('Registo de aulas'!M:M,'Registo de aulas'!A:A,A28),"")</f>
        <v/>
      </c>
      <c r="K28" s="6" t="n"/>
      <c r="L28" s="20" t="n"/>
    </row>
    <row r="29">
      <c r="A29" s="14" t="n">
        <v>28</v>
      </c>
      <c r="B29" s="14" t="n">
        <v>2</v>
      </c>
      <c r="C29" s="15" t="n">
        <v>46519</v>
      </c>
      <c r="D29" s="14">
        <f>COUNTIF('Registo de aulas'!A:A,A29)</f>
        <v/>
      </c>
      <c r="E29" s="14">
        <f>COUNTIFS('Registo de aulas'!A:A,A29,'Registo de aulas'!F:F,"F")+COUNTIFS('Registo de aulas'!A:A,A29,'Registo de aulas'!F:F,"FJ")</f>
        <v/>
      </c>
      <c r="F29" s="21">
        <f>IFERROR(AVERAGEIFS('Registo de aulas'!AA:AA,'Registo de aulas'!A:A,A29),"")</f>
        <v/>
      </c>
      <c r="G29" s="21">
        <f>IFERROR(AVERAGEIFS('Registo de aulas'!AB:AB,'Registo de aulas'!A:A,A29),"")</f>
        <v/>
      </c>
      <c r="H29" s="22">
        <f>IFERROR(AVERAGEIFS('Registo de aulas'!J:J,'Registo de aulas'!A:A,A29),"")</f>
        <v/>
      </c>
      <c r="I29" s="14">
        <f>IFERROR(MAXIFS('Registo de aulas'!U:U,'Registo de aulas'!A:A,A29),"")</f>
        <v/>
      </c>
      <c r="J29" s="14">
        <f>IFERROR(MAXIFS('Registo de aulas'!M:M,'Registo de aulas'!A:A,A29),"")</f>
        <v/>
      </c>
      <c r="K29" s="6" t="n"/>
      <c r="L29" s="20" t="n"/>
    </row>
    <row r="30">
      <c r="A30" s="14" t="n">
        <v>29</v>
      </c>
      <c r="B30" s="14" t="n">
        <v>2</v>
      </c>
      <c r="C30" s="15" t="n">
        <v>46526</v>
      </c>
      <c r="D30" s="14">
        <f>COUNTIF('Registo de aulas'!A:A,A30)</f>
        <v/>
      </c>
      <c r="E30" s="14">
        <f>COUNTIFS('Registo de aulas'!A:A,A30,'Registo de aulas'!F:F,"F")+COUNTIFS('Registo de aulas'!A:A,A30,'Registo de aulas'!F:F,"FJ")</f>
        <v/>
      </c>
      <c r="F30" s="21">
        <f>IFERROR(AVERAGEIFS('Registo de aulas'!AA:AA,'Registo de aulas'!A:A,A30),"")</f>
        <v/>
      </c>
      <c r="G30" s="21">
        <f>IFERROR(AVERAGEIFS('Registo de aulas'!AB:AB,'Registo de aulas'!A:A,A30),"")</f>
        <v/>
      </c>
      <c r="H30" s="22">
        <f>IFERROR(AVERAGEIFS('Registo de aulas'!J:J,'Registo de aulas'!A:A,A30),"")</f>
        <v/>
      </c>
      <c r="I30" s="14">
        <f>IFERROR(MAXIFS('Registo de aulas'!U:U,'Registo de aulas'!A:A,A30),"")</f>
        <v/>
      </c>
      <c r="J30" s="14">
        <f>IFERROR(MAXIFS('Registo de aulas'!M:M,'Registo de aulas'!A:A,A30),"")</f>
        <v/>
      </c>
      <c r="K30" s="6" t="n"/>
      <c r="L30" s="20" t="n"/>
    </row>
    <row r="31">
      <c r="A31" s="14" t="n">
        <v>30</v>
      </c>
      <c r="B31" s="14" t="n">
        <v>2</v>
      </c>
      <c r="C31" s="15" t="n">
        <v>46533</v>
      </c>
      <c r="D31" s="14">
        <f>COUNTIF('Registo de aulas'!A:A,A31)</f>
        <v/>
      </c>
      <c r="E31" s="14">
        <f>COUNTIFS('Registo de aulas'!A:A,A31,'Registo de aulas'!F:F,"F")+COUNTIFS('Registo de aulas'!A:A,A31,'Registo de aulas'!F:F,"FJ")</f>
        <v/>
      </c>
      <c r="F31" s="21">
        <f>IFERROR(AVERAGEIFS('Registo de aulas'!AA:AA,'Registo de aulas'!A:A,A31),"")</f>
        <v/>
      </c>
      <c r="G31" s="21">
        <f>IFERROR(AVERAGEIFS('Registo de aulas'!AB:AB,'Registo de aulas'!A:A,A31),"")</f>
        <v/>
      </c>
      <c r="H31" s="22">
        <f>IFERROR(AVERAGEIFS('Registo de aulas'!J:J,'Registo de aulas'!A:A,A31),"")</f>
        <v/>
      </c>
      <c r="I31" s="14">
        <f>IFERROR(MAXIFS('Registo de aulas'!U:U,'Registo de aulas'!A:A,A31),"")</f>
        <v/>
      </c>
      <c r="J31" s="14">
        <f>IFERROR(MAXIFS('Registo de aulas'!M:M,'Registo de aulas'!A:A,A31),"")</f>
        <v/>
      </c>
      <c r="K31" s="6" t="n"/>
      <c r="L31" s="20" t="n"/>
    </row>
    <row r="32">
      <c r="A32" s="14" t="n">
        <v>31</v>
      </c>
      <c r="B32" s="14" t="n">
        <v>2</v>
      </c>
      <c r="C32" s="15" t="n">
        <v>46540</v>
      </c>
      <c r="D32" s="14">
        <f>COUNTIF('Registo de aulas'!A:A,A32)</f>
        <v/>
      </c>
      <c r="E32" s="14">
        <f>COUNTIFS('Registo de aulas'!A:A,A32,'Registo de aulas'!F:F,"F")+COUNTIFS('Registo de aulas'!A:A,A32,'Registo de aulas'!F:F,"FJ")</f>
        <v/>
      </c>
      <c r="F32" s="21">
        <f>IFERROR(AVERAGEIFS('Registo de aulas'!AA:AA,'Registo de aulas'!A:A,A32),"")</f>
        <v/>
      </c>
      <c r="G32" s="21">
        <f>IFERROR(AVERAGEIFS('Registo de aulas'!AB:AB,'Registo de aulas'!A:A,A32),"")</f>
        <v/>
      </c>
      <c r="H32" s="22">
        <f>IFERROR(AVERAGEIFS('Registo de aulas'!J:J,'Registo de aulas'!A:A,A32),"")</f>
        <v/>
      </c>
      <c r="I32" s="14">
        <f>IFERROR(MAXIFS('Registo de aulas'!U:U,'Registo de aulas'!A:A,A32),"")</f>
        <v/>
      </c>
      <c r="J32" s="14">
        <f>IFERROR(MAXIFS('Registo de aulas'!M:M,'Registo de aulas'!A:A,A32),"")</f>
        <v/>
      </c>
      <c r="K32" s="6" t="n"/>
      <c r="L32" s="20" t="n"/>
    </row>
    <row r="33">
      <c r="A33" s="14" t="n">
        <v>32</v>
      </c>
      <c r="B33" s="14" t="n">
        <v>2</v>
      </c>
      <c r="C33" s="15" t="n">
        <v>46547</v>
      </c>
      <c r="D33" s="14">
        <f>COUNTIF('Registo de aulas'!A:A,A33)</f>
        <v/>
      </c>
      <c r="E33" s="14">
        <f>COUNTIFS('Registo de aulas'!A:A,A33,'Registo de aulas'!F:F,"F")+COUNTIFS('Registo de aulas'!A:A,A33,'Registo de aulas'!F:F,"FJ")</f>
        <v/>
      </c>
      <c r="F33" s="21">
        <f>IFERROR(AVERAGEIFS('Registo de aulas'!AA:AA,'Registo de aulas'!A:A,A33),"")</f>
        <v/>
      </c>
      <c r="G33" s="21">
        <f>IFERROR(AVERAGEIFS('Registo de aulas'!AB:AB,'Registo de aulas'!A:A,A33),"")</f>
        <v/>
      </c>
      <c r="H33" s="22">
        <f>IFERROR(AVERAGEIFS('Registo de aulas'!J:J,'Registo de aulas'!A:A,A33),"")</f>
        <v/>
      </c>
      <c r="I33" s="14">
        <f>IFERROR(MAXIFS('Registo de aulas'!U:U,'Registo de aulas'!A:A,A33),"")</f>
        <v/>
      </c>
      <c r="J33" s="14">
        <f>IFERROR(MAXIFS('Registo de aulas'!M:M,'Registo de aulas'!A:A,A33),"")</f>
        <v/>
      </c>
      <c r="K33" s="6" t="n"/>
      <c r="L33" s="2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90"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8" customHeight="1">
      <c r="A1" s="3" t="inlineStr">
        <is>
          <t>Parâmetro</t>
        </is>
      </c>
      <c r="B1" s="3" t="inlineStr">
        <is>
          <t>Máx.</t>
        </is>
      </c>
      <c r="C1" s="3" t="inlineStr">
        <is>
          <t>T I – 1.º sem.
11 nov</t>
        </is>
      </c>
      <c r="D1" s="3" t="inlineStr">
        <is>
          <t>T II – 1.º sem.
20 jan</t>
        </is>
      </c>
      <c r="E1" s="3" t="inlineStr">
        <is>
          <t>T I – 2.º sem.
10 mar</t>
        </is>
      </c>
      <c r="F1" s="3" t="inlineStr">
        <is>
          <t>T II – 2.º sem.
28 abr</t>
        </is>
      </c>
    </row>
    <row r="2">
      <c r="A2" s="23" t="inlineStr">
        <is>
          <t>Programa</t>
        </is>
      </c>
      <c r="C2" s="24" t="inlineStr">
        <is>
          <t>Ré M/si m · Seixas</t>
        </is>
      </c>
      <c r="D2" s="24" t="inlineStr">
        <is>
          <t>Fá M/ré m · Loeillet · Langlais</t>
        </is>
      </c>
      <c r="E2" s="24" t="inlineStr">
        <is>
          <t>Sib M/sol m · Rheinberger</t>
        </is>
      </c>
      <c r="F2" s="24" t="inlineStr">
        <is>
          <t>Mib M/dó m · Prelúdio · Pachelbel</t>
        </is>
      </c>
    </row>
    <row r="3">
      <c r="A3" s="25" t="inlineStr">
        <is>
          <t>Escala maior (legato, dedilhação, pulsação)</t>
        </is>
      </c>
      <c r="B3" s="25" t="n">
        <v>8</v>
      </c>
      <c r="C3" s="26" t="n"/>
      <c r="D3" s="26" t="n"/>
      <c r="E3" s="26" t="n"/>
      <c r="F3" s="26" t="n"/>
    </row>
    <row r="4">
      <c r="A4" s="25" t="inlineStr">
        <is>
          <t>Escala menor (harmónica + melódica)</t>
        </is>
      </c>
      <c r="B4" s="25" t="n">
        <v>8</v>
      </c>
      <c r="C4" s="26" t="n"/>
      <c r="D4" s="26" t="n"/>
      <c r="E4" s="26" t="n"/>
      <c r="F4" s="26" t="n"/>
    </row>
    <row r="5">
      <c r="A5" s="25" t="inlineStr">
        <is>
          <t>Arpejos</t>
        </is>
      </c>
      <c r="B5" s="25" t="n">
        <v>6</v>
      </c>
      <c r="C5" s="26" t="n"/>
      <c r="D5" s="26" t="n"/>
      <c r="E5" s="26" t="n"/>
      <c r="F5" s="26" t="n"/>
    </row>
    <row r="6">
      <c r="A6" s="25" t="inlineStr">
        <is>
          <t>Acordes + cadências 3 posições (nota comum presa)</t>
        </is>
      </c>
      <c r="B6" s="25" t="n">
        <v>8</v>
      </c>
      <c r="C6" s="26" t="n"/>
      <c r="D6" s="26" t="n"/>
      <c r="E6" s="26" t="n"/>
      <c r="F6" s="26" t="n"/>
    </row>
    <row r="7">
      <c r="A7" s="25" t="inlineStr">
        <is>
          <t>Obra(s): leitura / texto correto</t>
        </is>
      </c>
      <c r="B7" s="25" t="n">
        <v>15</v>
      </c>
      <c r="C7" s="26" t="n"/>
      <c r="D7" s="26" t="n"/>
      <c r="E7" s="26" t="n"/>
      <c r="F7" s="26" t="n"/>
    </row>
    <row r="8">
      <c r="A8" s="25" t="inlineStr">
        <is>
          <t>Pulsação estável e rigor rítmico</t>
        </is>
      </c>
      <c r="B8" s="25" t="n">
        <v>15</v>
      </c>
      <c r="C8" s="26" t="n"/>
      <c r="D8" s="26" t="n"/>
      <c r="E8" s="26" t="n"/>
      <c r="F8" s="26" t="n"/>
    </row>
    <row r="9">
      <c r="A9" s="25" t="inlineStr">
        <is>
          <t>Articulação e adequação estilística</t>
        </is>
      </c>
      <c r="B9" s="25" t="n">
        <v>12</v>
      </c>
      <c r="C9" s="26" t="n"/>
      <c r="D9" s="26" t="n"/>
      <c r="E9" s="26" t="n"/>
      <c r="F9" s="26" t="n"/>
    </row>
    <row r="10">
      <c r="A10" s="25" t="inlineStr">
        <is>
          <t>Fraseado e expressividade</t>
        </is>
      </c>
      <c r="B10" s="25" t="n">
        <v>10</v>
      </c>
      <c r="C10" s="26" t="n"/>
      <c r="D10" s="26" t="n"/>
      <c r="E10" s="26" t="n"/>
      <c r="F10" s="26" t="n"/>
    </row>
    <row r="11">
      <c r="A11" s="25" t="inlineStr">
        <is>
          <t>Coordenação / técnica (pedal) e registação</t>
        </is>
      </c>
      <c r="B11" s="25" t="n">
        <v>10</v>
      </c>
      <c r="C11" s="26" t="n"/>
      <c r="D11" s="26" t="n"/>
      <c r="E11" s="26" t="n"/>
      <c r="F11" s="26" t="n"/>
    </row>
    <row r="12">
      <c r="A12" s="25" t="inlineStr">
        <is>
          <t>Apresentação e postura</t>
        </is>
      </c>
      <c r="B12" s="25" t="n">
        <v>8</v>
      </c>
      <c r="C12" s="26" t="n"/>
      <c r="D12" s="26" t="n"/>
      <c r="E12" s="26" t="n"/>
      <c r="F12" s="26" t="n"/>
    </row>
    <row r="13">
      <c r="A13" s="23" t="inlineStr">
        <is>
          <t>TOTAL (%)</t>
        </is>
      </c>
      <c r="B13">
        <f>SUM(B3:B12)</f>
        <v/>
      </c>
      <c r="C13" s="27">
        <f>IF(COUNT(C3:C12)=0,"",SUM(C3:C12)/100)</f>
        <v/>
      </c>
      <c r="D13" s="27">
        <f>IF(COUNT(D3:D12)=0,"",SUM(D3:D12)/100)</f>
        <v/>
      </c>
      <c r="E13" s="27">
        <f>IF(COUNT(E3:E12)=0,"",SUM(E3:E12)/100)</f>
        <v/>
      </c>
      <c r="F13" s="27">
        <f>IF(COUNT(F3:F12)=0,"",SUM(F3:F12)/100)</f>
        <v/>
      </c>
    </row>
    <row r="14">
      <c r="A14" t="inlineStr">
        <is>
          <t>Júri / observações</t>
        </is>
      </c>
      <c r="C14" s="28" t="n"/>
      <c r="D14" s="28" t="n"/>
      <c r="E14" s="28" t="n"/>
      <c r="F14" s="28" t="n"/>
    </row>
  </sheetData>
  <dataValidations count="40">
    <dataValidation sqref="C3" showDropDown="0" showInputMessage="0" showErrorMessage="0" allowBlank="0" type="decimal" operator="between">
      <formula1>0</formula1>
      <formula2>8</formula2>
    </dataValidation>
    <dataValidation sqref="D3" showDropDown="0" showInputMessage="0" showErrorMessage="0" allowBlank="0" type="decimal" operator="between">
      <formula1>0</formula1>
      <formula2>8</formula2>
    </dataValidation>
    <dataValidation sqref="E3" showDropDown="0" showInputMessage="0" showErrorMessage="0" allowBlank="0" type="decimal" operator="between">
      <formula1>0</formula1>
      <formula2>8</formula2>
    </dataValidation>
    <dataValidation sqref="F3" showDropDown="0" showInputMessage="0" showErrorMessage="0" allowBlank="0" type="decimal" operator="between">
      <formula1>0</formula1>
      <formula2>8</formula2>
    </dataValidation>
    <dataValidation sqref="C4" showDropDown="0" showInputMessage="0" showErrorMessage="0" allowBlank="0" type="decimal" operator="between">
      <formula1>0</formula1>
      <formula2>8</formula2>
    </dataValidation>
    <dataValidation sqref="D4" showDropDown="0" showInputMessage="0" showErrorMessage="0" allowBlank="0" type="decimal" operator="between">
      <formula1>0</formula1>
      <formula2>8</formula2>
    </dataValidation>
    <dataValidation sqref="E4" showDropDown="0" showInputMessage="0" showErrorMessage="0" allowBlank="0" type="decimal" operator="between">
      <formula1>0</formula1>
      <formula2>8</formula2>
    </dataValidation>
    <dataValidation sqref="F4" showDropDown="0" showInputMessage="0" showErrorMessage="0" allowBlank="0" type="decimal" operator="between">
      <formula1>0</formula1>
      <formula2>8</formula2>
    </dataValidation>
    <dataValidation sqref="C5" showDropDown="0" showInputMessage="0" showErrorMessage="0" allowBlank="0" type="decimal" operator="between">
      <formula1>0</formula1>
      <formula2>6</formula2>
    </dataValidation>
    <dataValidation sqref="D5" showDropDown="0" showInputMessage="0" showErrorMessage="0" allowBlank="0" type="decimal" operator="between">
      <formula1>0</formula1>
      <formula2>6</formula2>
    </dataValidation>
    <dataValidation sqref="E5" showDropDown="0" showInputMessage="0" showErrorMessage="0" allowBlank="0" type="decimal" operator="between">
      <formula1>0</formula1>
      <formula2>6</formula2>
    </dataValidation>
    <dataValidation sqref="F5" showDropDown="0" showInputMessage="0" showErrorMessage="0" allowBlank="0" type="decimal" operator="between">
      <formula1>0</formula1>
      <formula2>6</formula2>
    </dataValidation>
    <dataValidation sqref="C6" showDropDown="0" showInputMessage="0" showErrorMessage="0" allowBlank="0" type="decimal" operator="between">
      <formula1>0</formula1>
      <formula2>8</formula2>
    </dataValidation>
    <dataValidation sqref="D6" showDropDown="0" showInputMessage="0" showErrorMessage="0" allowBlank="0" type="decimal" operator="between">
      <formula1>0</formula1>
      <formula2>8</formula2>
    </dataValidation>
    <dataValidation sqref="E6" showDropDown="0" showInputMessage="0" showErrorMessage="0" allowBlank="0" type="decimal" operator="between">
      <formula1>0</formula1>
      <formula2>8</formula2>
    </dataValidation>
    <dataValidation sqref="F6" showDropDown="0" showInputMessage="0" showErrorMessage="0" allowBlank="0" type="decimal" operator="between">
      <formula1>0</formula1>
      <formula2>8</formula2>
    </dataValidation>
    <dataValidation sqref="C7" showDropDown="0" showInputMessage="0" showErrorMessage="0" allowBlank="0" type="decimal" operator="between">
      <formula1>0</formula1>
      <formula2>15</formula2>
    </dataValidation>
    <dataValidation sqref="D7" showDropDown="0" showInputMessage="0" showErrorMessage="0" allowBlank="0" type="decimal" operator="between">
      <formula1>0</formula1>
      <formula2>15</formula2>
    </dataValidation>
    <dataValidation sqref="E7" showDropDown="0" showInputMessage="0" showErrorMessage="0" allowBlank="0" type="decimal" operator="between">
      <formula1>0</formula1>
      <formula2>15</formula2>
    </dataValidation>
    <dataValidation sqref="F7" showDropDown="0" showInputMessage="0" showErrorMessage="0" allowBlank="0" type="decimal" operator="between">
      <formula1>0</formula1>
      <formula2>15</formula2>
    </dataValidation>
    <dataValidation sqref="C8" showDropDown="0" showInputMessage="0" showErrorMessage="0" allowBlank="0" type="decimal" operator="between">
      <formula1>0</formula1>
      <formula2>15</formula2>
    </dataValidation>
    <dataValidation sqref="D8" showDropDown="0" showInputMessage="0" showErrorMessage="0" allowBlank="0" type="decimal" operator="between">
      <formula1>0</formula1>
      <formula2>15</formula2>
    </dataValidation>
    <dataValidation sqref="E8" showDropDown="0" showInputMessage="0" showErrorMessage="0" allowBlank="0" type="decimal" operator="between">
      <formula1>0</formula1>
      <formula2>15</formula2>
    </dataValidation>
    <dataValidation sqref="F8" showDropDown="0" showInputMessage="0" showErrorMessage="0" allowBlank="0" type="decimal" operator="between">
      <formula1>0</formula1>
      <formula2>15</formula2>
    </dataValidation>
    <dataValidation sqref="C9" showDropDown="0" showInputMessage="0" showErrorMessage="0" allowBlank="0" type="decimal" operator="between">
      <formula1>0</formula1>
      <formula2>12</formula2>
    </dataValidation>
    <dataValidation sqref="D9" showDropDown="0" showInputMessage="0" showErrorMessage="0" allowBlank="0" type="decimal" operator="between">
      <formula1>0</formula1>
      <formula2>12</formula2>
    </dataValidation>
    <dataValidation sqref="E9" showDropDown="0" showInputMessage="0" showErrorMessage="0" allowBlank="0" type="decimal" operator="between">
      <formula1>0</formula1>
      <formula2>12</formula2>
    </dataValidation>
    <dataValidation sqref="F9" showDropDown="0" showInputMessage="0" showErrorMessage="0" allowBlank="0" type="decimal" operator="between">
      <formula1>0</formula1>
      <formula2>12</formula2>
    </dataValidation>
    <dataValidation sqref="C10" showDropDown="0" showInputMessage="0" showErrorMessage="0" allowBlank="0" type="decimal" operator="between">
      <formula1>0</formula1>
      <formula2>10</formula2>
    </dataValidation>
    <dataValidation sqref="D10" showDropDown="0" showInputMessage="0" showErrorMessage="0" allowBlank="0" type="decimal" operator="between">
      <formula1>0</formula1>
      <formula2>10</formula2>
    </dataValidation>
    <dataValidation sqref="E10" showDropDown="0" showInputMessage="0" showErrorMessage="0" allowBlank="0" type="decimal" operator="between">
      <formula1>0</formula1>
      <formula2>10</formula2>
    </dataValidation>
    <dataValidation sqref="F10" showDropDown="0" showInputMessage="0" showErrorMessage="0" allowBlank="0" type="decimal" operator="between">
      <formula1>0</formula1>
      <formula2>10</formula2>
    </dataValidation>
    <dataValidation sqref="C11" showDropDown="0" showInputMessage="0" showErrorMessage="0" allowBlank="0" type="decimal" operator="between">
      <formula1>0</formula1>
      <formula2>10</formula2>
    </dataValidation>
    <dataValidation sqref="D11" showDropDown="0" showInputMessage="0" showErrorMessage="0" allowBlank="0" type="decimal" operator="between">
      <formula1>0</formula1>
      <formula2>10</formula2>
    </dataValidation>
    <dataValidation sqref="E11" showDropDown="0" showInputMessage="0" showErrorMessage="0" allowBlank="0" type="decimal" operator="between">
      <formula1>0</formula1>
      <formula2>10</formula2>
    </dataValidation>
    <dataValidation sqref="F11" showDropDown="0" showInputMessage="0" showErrorMessage="0" allowBlank="0" type="decimal" operator="between">
      <formula1>0</formula1>
      <formula2>10</formula2>
    </dataValidation>
    <dataValidation sqref="C12" showDropDown="0" showInputMessage="0" showErrorMessage="0" allowBlank="0" type="decimal" operator="between">
      <formula1>0</formula1>
      <formula2>8</formula2>
    </dataValidation>
    <dataValidation sqref="D12" showDropDown="0" showInputMessage="0" showErrorMessage="0" allowBlank="0" type="decimal" operator="between">
      <formula1>0</formula1>
      <formula2>8</formula2>
    </dataValidation>
    <dataValidation sqref="E12" showDropDown="0" showInputMessage="0" showErrorMessage="0" allowBlank="0" type="decimal" operator="between">
      <formula1>0</formula1>
      <formula2>8</formula2>
    </dataValidation>
    <dataValidation sqref="F12" showDropDown="0" showInputMessage="0" showErrorMessage="0" allowBlank="0" type="decimal" operator="between">
      <formula1>0</formula1>
      <formula2>8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90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4" customWidth="1" min="4" max="4"/>
    <col width="60" customWidth="1" min="5" max="5"/>
  </cols>
  <sheetData>
    <row r="1" ht="48" customHeight="1">
      <c r="A1" s="3" t="inlineStr">
        <is>
          <t>Domínio / instrumento</t>
        </is>
      </c>
      <c r="B1" s="3" t="inlineStr">
        <is>
          <t>Ponderação</t>
        </is>
      </c>
      <c r="C1" s="3" t="inlineStr">
        <is>
          <t>1.º semestre</t>
        </is>
      </c>
      <c r="D1" s="3" t="inlineStr">
        <is>
          <t>2.º semestre</t>
        </is>
      </c>
      <c r="E1" s="3" t="inlineStr">
        <is>
          <t>Notas</t>
        </is>
      </c>
    </row>
    <row r="2">
      <c r="A2" s="25" t="inlineStr">
        <is>
          <t>Atitudinal – observação direta / registos diários</t>
        </is>
      </c>
      <c r="B2" s="29" t="n">
        <v>0.1</v>
      </c>
      <c r="C2" s="29">
        <f>IFERROR(AVERAGEIFS('Registo de aulas'!AA:AA,'Registo de aulas'!B:B,1),"")</f>
        <v/>
      </c>
      <c r="D2" s="29">
        <f>IFERROR(AVERAGEIFS('Registo de aulas'!AA:AA,'Registo de aulas'!B:B,2),"")</f>
        <v/>
      </c>
      <c r="E2" s="25" t="inlineStr">
        <is>
          <t>Média automática das aulas</t>
        </is>
      </c>
    </row>
    <row r="3">
      <c r="A3" s="25" t="inlineStr">
        <is>
          <t>Desempenho – observação / tarefas em aula</t>
        </is>
      </c>
      <c r="B3" s="29" t="n">
        <v>0.4</v>
      </c>
      <c r="C3" s="29">
        <f>IFERROR(AVERAGEIFS('Registo de aulas'!AB:AB,'Registo de aulas'!B:B,1),"")</f>
        <v/>
      </c>
      <c r="D3" s="29">
        <f>IFERROR(AVERAGEIFS('Registo de aulas'!AB:AB,'Registo de aulas'!B:B,2),"")</f>
        <v/>
      </c>
      <c r="E3" s="25" t="inlineStr">
        <is>
          <t>Média automática das aulas</t>
        </is>
      </c>
    </row>
    <row r="4">
      <c r="A4" s="25" t="inlineStr">
        <is>
          <t>Desempenho – testes</t>
        </is>
      </c>
      <c r="B4" s="29" t="n">
        <v>0.35</v>
      </c>
      <c r="C4" s="29">
        <f>IFERROR(AVERAGE(Testes!C13:D13),"")</f>
        <v/>
      </c>
      <c r="D4" s="29">
        <f>IFERROR(AVERAGE(Testes!E13:F13),"")</f>
        <v/>
      </c>
      <c r="E4" s="25" t="inlineStr">
        <is>
          <t>Média dos 2 momentos do semestre</t>
        </is>
      </c>
    </row>
    <row r="5">
      <c r="A5" s="25" t="inlineStr">
        <is>
          <t>Audições / apresentações / atividades</t>
        </is>
      </c>
      <c r="B5" s="29" t="n">
        <v>0.15</v>
      </c>
      <c r="C5" s="30" t="n"/>
      <c r="D5" s="30" t="n"/>
      <c r="E5" s="25" t="inlineStr">
        <is>
          <t>Escrever % (ex.: 80%) ou J = ausência justificada</t>
        </is>
      </c>
    </row>
    <row r="6">
      <c r="A6" t="inlineStr">
        <is>
          <t>Atividade realizada (descrição)</t>
        </is>
      </c>
      <c r="C6" s="31" t="inlineStr">
        <is>
          <t>Apresentação em aula dez / Itinerários S. José</t>
        </is>
      </c>
      <c r="D6" s="31" t="inlineStr">
        <is>
          <t>Itinerários Maia / Encontro musical maio</t>
        </is>
      </c>
    </row>
    <row r="8">
      <c r="A8" s="23" t="inlineStr">
        <is>
          <t>CLASSIFICAÇÃO DO SEMESTRE (%)</t>
        </is>
      </c>
      <c r="C8" s="32">
        <f>IFERROR(IF(UPPER(C5)="J",C2*$B$2+C3*($B$3+$B$5/2)+C4*($B$4+$B$5/2),C2*$B$2+C3*$B$3+C4*$B$4+C5*$B$5),"")</f>
        <v/>
      </c>
      <c r="D8" s="32">
        <f>IFERROR(IF(UPPER(D5)="J",D2*$B$2+D3*($B$3+$B$5/2)+D4*($B$4+$B$5/2),D2*$B$2+D3*$B$3+D4*$B$4+D5*$B$5),"")</f>
        <v/>
      </c>
    </row>
    <row r="9">
      <c r="A9" s="23" t="inlineStr">
        <is>
          <t>Nível do semestre (1–5)</t>
        </is>
      </c>
      <c r="C9" s="33">
        <f>IF(C8="","",IF(C8&lt;0.2,1,IF(C8&lt;0.5,2,IF(C8&lt;0.7,3,IF(C8&lt;0.9,4,5)))))</f>
        <v/>
      </c>
      <c r="D9" s="33">
        <f>IF(D8="","",IF(D8&lt;0.2,1,IF(D8&lt;0.5,2,IF(D8&lt;0.7,3,IF(D8&lt;0.9,4,5)))))</f>
        <v/>
      </c>
    </row>
    <row r="11">
      <c r="A11" s="23" t="inlineStr">
        <is>
          <t>CLASSIFICAÇÃO FINAL (média simples dos semestres, %)</t>
        </is>
      </c>
      <c r="C11" s="32">
        <f>IFERROR(AVERAGE(C8:D8),"")</f>
        <v/>
      </c>
    </row>
    <row r="12">
      <c r="A12" s="23" t="inlineStr">
        <is>
          <t>NÍVEL FINAL (considerar a evolução da aluna)</t>
        </is>
      </c>
      <c r="C12" s="33">
        <f>IF(C11="","",IF(C11&lt;0.2,1,IF(C11&lt;0.5,2,IF(C11&lt;0.7,3,IF(C11&lt;0.9,4,5)))))</f>
        <v/>
      </c>
    </row>
    <row r="14" ht="60" customHeight="1">
      <c r="A14" t="inlineStr">
        <is>
          <t>Síntese descritiva 1.º semestre</t>
        </is>
      </c>
      <c r="C14" s="28" t="n"/>
    </row>
    <row r="15" ht="60" customHeight="1">
      <c r="A15" t="inlineStr">
        <is>
          <t>Síntese descritiva 2.º semestre</t>
        </is>
      </c>
      <c r="C15" s="28" t="n"/>
    </row>
  </sheetData>
  <mergeCells count="2">
    <mergeCell ref="C15:E15"/>
    <mergeCell ref="C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8" customHeight="1">
      <c r="A1" s="3" t="inlineStr">
        <is>
          <t>Obra / técnica</t>
        </is>
      </c>
      <c r="B1" s="3" t="inlineStr">
        <is>
          <t>Unidade</t>
        </is>
      </c>
      <c r="C1" s="3" t="inlineStr">
        <is>
          <t>Leitura</t>
        </is>
      </c>
      <c r="D1" s="3" t="inlineStr">
        <is>
          <t>Meta C-1</t>
        </is>
      </c>
      <c r="E1" s="3" t="inlineStr">
        <is>
          <t>Meta C-2</t>
        </is>
      </c>
      <c r="F1" s="3" t="inlineStr">
        <is>
          <t>Andamento de prova</t>
        </is>
      </c>
      <c r="G1" s="3" t="inlineStr">
        <is>
          <t>Andamento de segurança</t>
        </is>
      </c>
      <c r="H1" s="3" t="inlineStr">
        <is>
          <t>Sem. 1</t>
        </is>
      </c>
      <c r="I1" s="3" t="inlineStr">
        <is>
          <t>Sem. 2</t>
        </is>
      </c>
      <c r="J1" s="3" t="inlineStr">
        <is>
          <t>Sem. 3</t>
        </is>
      </c>
      <c r="K1" s="3" t="inlineStr">
        <is>
          <t>Sem. 4</t>
        </is>
      </c>
      <c r="L1" s="3" t="inlineStr">
        <is>
          <t>Sem. 5</t>
        </is>
      </c>
      <c r="M1" s="3" t="inlineStr">
        <is>
          <t>Sem. 6</t>
        </is>
      </c>
      <c r="N1" s="3" t="inlineStr">
        <is>
          <t>Sem. 7</t>
        </is>
      </c>
      <c r="O1" s="3" t="inlineStr">
        <is>
          <t>Sem. 8</t>
        </is>
      </c>
      <c r="P1" s="3" t="inlineStr">
        <is>
          <t>Sem. 9</t>
        </is>
      </c>
      <c r="Q1" s="3" t="inlineStr">
        <is>
          <t>Sem. 10</t>
        </is>
      </c>
      <c r="R1" s="3" t="inlineStr">
        <is>
          <t>Sem. 11</t>
        </is>
      </c>
      <c r="S1" s="3" t="inlineStr">
        <is>
          <t>Sem. 12</t>
        </is>
      </c>
      <c r="T1" s="3" t="inlineStr">
        <is>
          <t>Sem. 13</t>
        </is>
      </c>
      <c r="U1" s="3" t="inlineStr">
        <is>
          <t>Sem. 14</t>
        </is>
      </c>
      <c r="V1" s="3" t="inlineStr">
        <is>
          <t>Sem. 15</t>
        </is>
      </c>
      <c r="W1" s="3" t="inlineStr">
        <is>
          <t>Sem. 16</t>
        </is>
      </c>
      <c r="X1" s="3" t="inlineStr">
        <is>
          <t>Sem. 17</t>
        </is>
      </c>
      <c r="Y1" s="3" t="inlineStr">
        <is>
          <t>Sem. 18</t>
        </is>
      </c>
      <c r="Z1" s="3" t="inlineStr">
        <is>
          <t>Sem. 19</t>
        </is>
      </c>
      <c r="AA1" s="3" t="inlineStr">
        <is>
          <t>Sem. 20</t>
        </is>
      </c>
      <c r="AB1" s="3" t="inlineStr">
        <is>
          <t>Sem. 21</t>
        </is>
      </c>
      <c r="AC1" s="3" t="inlineStr">
        <is>
          <t>Sem. 22</t>
        </is>
      </c>
      <c r="AD1" s="3" t="inlineStr">
        <is>
          <t>Sem. 23</t>
        </is>
      </c>
      <c r="AE1" s="3" t="inlineStr">
        <is>
          <t>Sem. 24</t>
        </is>
      </c>
      <c r="AF1" s="3" t="inlineStr">
        <is>
          <t>Sem. 25</t>
        </is>
      </c>
      <c r="AG1" s="3" t="inlineStr">
        <is>
          <t>Sem. 26</t>
        </is>
      </c>
    </row>
    <row r="2">
      <c r="A2" s="25" t="inlineStr">
        <is>
          <t>Ré M / si m escalas</t>
        </is>
      </c>
      <c r="B2" s="25" t="inlineStr">
        <is>
          <t>♩ (colch.)</t>
        </is>
      </c>
      <c r="C2" s="25" t="n">
        <v>60</v>
      </c>
      <c r="D2" s="25" t="n">
        <v>72</v>
      </c>
      <c r="E2" s="25" t="n">
        <v>80</v>
      </c>
      <c r="F2" s="25" t="inlineStr">
        <is>
          <t>84–88</t>
        </is>
      </c>
      <c r="G2" s="25" t="n">
        <v>76</v>
      </c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</row>
    <row r="3">
      <c r="A3" s="25" t="inlineStr">
        <is>
          <t>Seixas</t>
        </is>
      </c>
      <c r="B3" s="25" t="inlineStr">
        <is>
          <t>♩.</t>
        </is>
      </c>
      <c r="C3" s="25" t="n">
        <v>40</v>
      </c>
      <c r="D3" s="25" t="n">
        <v>46</v>
      </c>
      <c r="E3" s="25" t="n">
        <v>56</v>
      </c>
      <c r="F3" s="25" t="inlineStr">
        <is>
          <t>60–66</t>
        </is>
      </c>
      <c r="G3" s="25" t="n">
        <v>56</v>
      </c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</row>
    <row r="4">
      <c r="A4" s="25" t="inlineStr">
        <is>
          <t>Fá M / ré m escalas</t>
        </is>
      </c>
      <c r="B4" s="25" t="inlineStr">
        <is>
          <t>♩ (colch.)</t>
        </is>
      </c>
      <c r="C4" s="25" t="n">
        <v>60</v>
      </c>
      <c r="D4" s="25" t="n">
        <v>76</v>
      </c>
      <c r="E4" s="25" t="n">
        <v>84</v>
      </c>
      <c r="F4" s="25" t="inlineStr">
        <is>
          <t>88</t>
        </is>
      </c>
      <c r="G4" s="25" t="n">
        <v>80</v>
      </c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</row>
    <row r="5">
      <c r="A5" s="25" t="inlineStr">
        <is>
          <t>Loeillet</t>
        </is>
      </c>
      <c r="B5" s="25" t="inlineStr">
        <is>
          <t>♩</t>
        </is>
      </c>
      <c r="C5" s="25" t="n">
        <v>60</v>
      </c>
      <c r="D5" s="25" t="n">
        <v>72</v>
      </c>
      <c r="E5" s="25" t="n">
        <v>88</v>
      </c>
      <c r="F5" s="25" t="inlineStr">
        <is>
          <t>96–104</t>
        </is>
      </c>
      <c r="G5" s="25" t="n">
        <v>88</v>
      </c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</row>
    <row r="6">
      <c r="A6" s="25" t="inlineStr">
        <is>
          <t>Langlais</t>
        </is>
      </c>
      <c r="B6" s="25" t="inlineStr">
        <is>
          <t>♩</t>
        </is>
      </c>
      <c r="C6" s="25" t="n">
        <v>56</v>
      </c>
      <c r="D6" s="25" t="n">
        <v>66</v>
      </c>
      <c r="E6" s="25" t="n">
        <v>76</v>
      </c>
      <c r="F6" s="25" t="inlineStr">
        <is>
          <t>80–88</t>
        </is>
      </c>
      <c r="G6" s="25" t="n">
        <v>72</v>
      </c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</row>
    <row r="7">
      <c r="A7" s="25" t="inlineStr">
        <is>
          <t>Sib M / sol m escalas</t>
        </is>
      </c>
      <c r="B7" s="25" t="inlineStr">
        <is>
          <t>♩ (colch.)</t>
        </is>
      </c>
      <c r="C7" s="25" t="n">
        <v>60</v>
      </c>
      <c r="D7" s="25" t="n">
        <v>72</v>
      </c>
      <c r="E7" s="25" t="n">
        <v>80</v>
      </c>
      <c r="F7" s="25" t="inlineStr">
        <is>
          <t>84</t>
        </is>
      </c>
      <c r="G7" s="25" t="n">
        <v>76</v>
      </c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</row>
    <row r="8">
      <c r="A8" s="25" t="inlineStr">
        <is>
          <t>Rheinberger</t>
        </is>
      </c>
      <c r="B8" s="25" t="inlineStr">
        <is>
          <t>♩.</t>
        </is>
      </c>
      <c r="C8" s="25" t="n">
        <v>33</v>
      </c>
      <c r="D8" s="25" t="n">
        <v>40</v>
      </c>
      <c r="E8" s="25" t="n">
        <v>44</v>
      </c>
      <c r="F8" s="25" t="inlineStr">
        <is>
          <t>44–50</t>
        </is>
      </c>
      <c r="G8" s="25" t="n">
        <v>40</v>
      </c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</row>
    <row r="9">
      <c r="A9" s="25" t="inlineStr">
        <is>
          <t>Mib M / dó m escalas</t>
        </is>
      </c>
      <c r="B9" s="25" t="inlineStr">
        <is>
          <t>♩ (colch.)</t>
        </is>
      </c>
      <c r="C9" s="25" t="n">
        <v>60</v>
      </c>
      <c r="D9" s="25" t="n">
        <v>72</v>
      </c>
      <c r="E9" s="25" t="n">
        <v>80</v>
      </c>
      <c r="F9" s="25" t="inlineStr">
        <is>
          <t>84</t>
        </is>
      </c>
      <c r="G9" s="25" t="n">
        <v>76</v>
      </c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</row>
    <row r="10">
      <c r="A10" s="25" t="inlineStr">
        <is>
          <t>Pachelbel</t>
        </is>
      </c>
      <c r="B10" s="25" t="inlineStr">
        <is>
          <t>♩.</t>
        </is>
      </c>
      <c r="C10" s="25" t="n">
        <v>33</v>
      </c>
      <c r="D10" s="25" t="n">
        <v>40</v>
      </c>
      <c r="E10" s="25" t="n">
        <v>48</v>
      </c>
      <c r="F10" s="25" t="inlineStr">
        <is>
          <t>48–56</t>
        </is>
      </c>
      <c r="G10" s="25" t="n">
        <v>44</v>
      </c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</row>
    <row r="11">
      <c r="A11" s="25" t="inlineStr">
        <is>
          <t>Prelúdio (sol m)</t>
        </is>
      </c>
      <c r="B11" s="25" t="inlineStr">
        <is>
          <t>𝅗𝅥</t>
        </is>
      </c>
      <c r="C11" s="25" t="n">
        <v>40</v>
      </c>
      <c r="D11" s="25" t="n">
        <v>48</v>
      </c>
      <c r="E11" s="25" t="n">
        <v>54</v>
      </c>
      <c r="F11" s="25" t="inlineStr">
        <is>
          <t>56–63</t>
        </is>
      </c>
      <c r="G11" s="25" t="n">
        <v>50</v>
      </c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4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0" customWidth="1" min="12" max="12"/>
    <col width="12" customWidth="1" min="13" max="13"/>
    <col width="40" customWidth="1" min="14" max="14"/>
  </cols>
  <sheetData>
    <row r="1" ht="48" customHeight="1">
      <c r="A1" s="3" t="inlineStr">
        <is>
          <t>Sem.</t>
        </is>
      </c>
      <c r="B1" s="3" t="inlineStr">
        <is>
          <t>Início (seg)</t>
        </is>
      </c>
      <c r="C1" s="3" t="inlineStr">
        <is>
          <t>Seg</t>
        </is>
      </c>
      <c r="D1" s="3" t="inlineStr">
        <is>
          <t>Ter</t>
        </is>
      </c>
      <c r="E1" s="3" t="inlineStr">
        <is>
          <t>Qua</t>
        </is>
      </c>
      <c r="F1" s="3" t="inlineStr">
        <is>
          <t>Qui</t>
        </is>
      </c>
      <c r="G1" s="3" t="inlineStr">
        <is>
          <t>Sex</t>
        </is>
      </c>
      <c r="H1" s="3" t="inlineStr">
        <is>
          <t>Sáb</t>
        </is>
      </c>
      <c r="I1" s="3" t="inlineStr">
        <is>
          <t>Dom</t>
        </is>
      </c>
      <c r="J1" s="3" t="inlineStr">
        <is>
          <t>Dias</t>
        </is>
      </c>
      <c r="K1" s="3" t="inlineStr">
        <is>
          <t>Minutos totais</t>
        </is>
      </c>
      <c r="L1" s="3" t="inlineStr">
        <is>
          <t>Recorde clave fá</t>
        </is>
      </c>
      <c r="M1" s="3" t="inlineStr">
        <is>
          <t>Assinatura EE (S/N)</t>
        </is>
      </c>
      <c r="N1" s="3" t="inlineStr">
        <is>
          <t>Obs.</t>
        </is>
      </c>
    </row>
    <row r="2">
      <c r="A2" s="34" t="inlineStr">
        <is>
          <t>Escrever em cada dia os minutos de estudo (0 = não estudou).</t>
        </is>
      </c>
    </row>
    <row r="3">
      <c r="A3" s="25" t="n">
        <v>1</v>
      </c>
      <c r="B3" s="35" t="n">
        <v>46293</v>
      </c>
      <c r="C3" s="26" t="n"/>
      <c r="D3" s="26" t="n"/>
      <c r="E3" s="26" t="n"/>
      <c r="F3" s="26" t="n"/>
      <c r="G3" s="26" t="n"/>
      <c r="H3" s="26" t="n"/>
      <c r="I3" s="26" t="n"/>
      <c r="J3" s="25">
        <f>COUNTIF(C3:I3,"&gt;0")</f>
        <v/>
      </c>
      <c r="K3" s="25">
        <f>SUM(C3:I3)</f>
        <v/>
      </c>
      <c r="L3" s="26" t="n"/>
      <c r="M3" s="26" t="n"/>
      <c r="N3" s="26" t="n"/>
    </row>
    <row r="4">
      <c r="A4" s="25" t="n">
        <v>2</v>
      </c>
      <c r="B4" s="35" t="n">
        <v>46300</v>
      </c>
      <c r="C4" s="26" t="n"/>
      <c r="D4" s="26" t="n"/>
      <c r="E4" s="26" t="n"/>
      <c r="F4" s="26" t="n"/>
      <c r="G4" s="26" t="n"/>
      <c r="H4" s="26" t="n"/>
      <c r="I4" s="26" t="n"/>
      <c r="J4" s="25">
        <f>COUNTIF(C4:I4,"&gt;0")</f>
        <v/>
      </c>
      <c r="K4" s="25">
        <f>SUM(C4:I4)</f>
        <v/>
      </c>
      <c r="L4" s="26" t="n"/>
      <c r="M4" s="26" t="n"/>
      <c r="N4" s="26" t="n"/>
    </row>
    <row r="5">
      <c r="A5" s="25" t="n">
        <v>3</v>
      </c>
      <c r="B5" s="35" t="n">
        <v>46307</v>
      </c>
      <c r="C5" s="26" t="n"/>
      <c r="D5" s="26" t="n"/>
      <c r="E5" s="26" t="n"/>
      <c r="F5" s="26" t="n"/>
      <c r="G5" s="26" t="n"/>
      <c r="H5" s="26" t="n"/>
      <c r="I5" s="26" t="n"/>
      <c r="J5" s="25">
        <f>COUNTIF(C5:I5,"&gt;0")</f>
        <v/>
      </c>
      <c r="K5" s="25">
        <f>SUM(C5:I5)</f>
        <v/>
      </c>
      <c r="L5" s="26" t="n"/>
      <c r="M5" s="26" t="n"/>
      <c r="N5" s="26" t="n"/>
    </row>
    <row r="6">
      <c r="A6" s="25" t="n">
        <v>4</v>
      </c>
      <c r="B6" s="35" t="n">
        <v>46314</v>
      </c>
      <c r="C6" s="26" t="n"/>
      <c r="D6" s="26" t="n"/>
      <c r="E6" s="26" t="n"/>
      <c r="F6" s="26" t="n"/>
      <c r="G6" s="26" t="n"/>
      <c r="H6" s="26" t="n"/>
      <c r="I6" s="26" t="n"/>
      <c r="J6" s="25">
        <f>COUNTIF(C6:I6,"&gt;0")</f>
        <v/>
      </c>
      <c r="K6" s="25">
        <f>SUM(C6:I6)</f>
        <v/>
      </c>
      <c r="L6" s="26" t="n"/>
      <c r="M6" s="26" t="n"/>
      <c r="N6" s="26" t="n"/>
    </row>
    <row r="7">
      <c r="A7" s="25" t="n">
        <v>5</v>
      </c>
      <c r="B7" s="35" t="n">
        <v>46321</v>
      </c>
      <c r="C7" s="26" t="n"/>
      <c r="D7" s="26" t="n"/>
      <c r="E7" s="26" t="n"/>
      <c r="F7" s="26" t="n"/>
      <c r="G7" s="26" t="n"/>
      <c r="H7" s="26" t="n"/>
      <c r="I7" s="26" t="n"/>
      <c r="J7" s="25">
        <f>COUNTIF(C7:I7,"&gt;0")</f>
        <v/>
      </c>
      <c r="K7" s="25">
        <f>SUM(C7:I7)</f>
        <v/>
      </c>
      <c r="L7" s="26" t="n"/>
      <c r="M7" s="26" t="n"/>
      <c r="N7" s="26" t="n"/>
    </row>
    <row r="8">
      <c r="A8" s="25" t="n">
        <v>6</v>
      </c>
      <c r="B8" s="35" t="n">
        <v>46328</v>
      </c>
      <c r="C8" s="26" t="n"/>
      <c r="D8" s="26" t="n"/>
      <c r="E8" s="26" t="n"/>
      <c r="F8" s="26" t="n"/>
      <c r="G8" s="26" t="n"/>
      <c r="H8" s="26" t="n"/>
      <c r="I8" s="26" t="n"/>
      <c r="J8" s="25">
        <f>COUNTIF(C8:I8,"&gt;0")</f>
        <v/>
      </c>
      <c r="K8" s="25">
        <f>SUM(C8:I8)</f>
        <v/>
      </c>
      <c r="L8" s="26" t="n"/>
      <c r="M8" s="26" t="n"/>
      <c r="N8" s="26" t="n"/>
    </row>
    <row r="9">
      <c r="A9" s="25" t="n">
        <v>7</v>
      </c>
      <c r="B9" s="35" t="n">
        <v>46335</v>
      </c>
      <c r="C9" s="26" t="n"/>
      <c r="D9" s="26" t="n"/>
      <c r="E9" s="26" t="n"/>
      <c r="F9" s="26" t="n"/>
      <c r="G9" s="26" t="n"/>
      <c r="H9" s="26" t="n"/>
      <c r="I9" s="26" t="n"/>
      <c r="J9" s="25">
        <f>COUNTIF(C9:I9,"&gt;0")</f>
        <v/>
      </c>
      <c r="K9" s="25">
        <f>SUM(C9:I9)</f>
        <v/>
      </c>
      <c r="L9" s="26" t="n"/>
      <c r="M9" s="26" t="n"/>
      <c r="N9" s="26" t="n"/>
    </row>
    <row r="10">
      <c r="A10" s="25" t="n">
        <v>8</v>
      </c>
      <c r="B10" s="35" t="n">
        <v>46342</v>
      </c>
      <c r="C10" s="26" t="n"/>
      <c r="D10" s="26" t="n"/>
      <c r="E10" s="26" t="n"/>
      <c r="F10" s="26" t="n"/>
      <c r="G10" s="26" t="n"/>
      <c r="H10" s="26" t="n"/>
      <c r="I10" s="26" t="n"/>
      <c r="J10" s="25">
        <f>COUNTIF(C10:I10,"&gt;0")</f>
        <v/>
      </c>
      <c r="K10" s="25">
        <f>SUM(C10:I10)</f>
        <v/>
      </c>
      <c r="L10" s="26" t="n"/>
      <c r="M10" s="26" t="n"/>
      <c r="N10" s="26" t="n"/>
    </row>
    <row r="11">
      <c r="A11" s="25" t="n">
        <v>9</v>
      </c>
      <c r="B11" s="35" t="n">
        <v>46349</v>
      </c>
      <c r="C11" s="26" t="n"/>
      <c r="D11" s="26" t="n"/>
      <c r="E11" s="26" t="n"/>
      <c r="F11" s="26" t="n"/>
      <c r="G11" s="26" t="n"/>
      <c r="H11" s="26" t="n"/>
      <c r="I11" s="26" t="n"/>
      <c r="J11" s="25">
        <f>COUNTIF(C11:I11,"&gt;0")</f>
        <v/>
      </c>
      <c r="K11" s="25">
        <f>SUM(C11:I11)</f>
        <v/>
      </c>
      <c r="L11" s="26" t="n"/>
      <c r="M11" s="26" t="n"/>
      <c r="N11" s="26" t="n"/>
    </row>
    <row r="12">
      <c r="A12" s="25" t="n">
        <v>10</v>
      </c>
      <c r="B12" s="35" t="n">
        <v>46356</v>
      </c>
      <c r="C12" s="26" t="n"/>
      <c r="D12" s="26" t="n"/>
      <c r="E12" s="26" t="n"/>
      <c r="F12" s="26" t="n"/>
      <c r="G12" s="26" t="n"/>
      <c r="H12" s="26" t="n"/>
      <c r="I12" s="26" t="n"/>
      <c r="J12" s="25">
        <f>COUNTIF(C12:I12,"&gt;0")</f>
        <v/>
      </c>
      <c r="K12" s="25">
        <f>SUM(C12:I12)</f>
        <v/>
      </c>
      <c r="L12" s="26" t="n"/>
      <c r="M12" s="26" t="n"/>
      <c r="N12" s="26" t="n"/>
    </row>
    <row r="13">
      <c r="A13" s="25" t="n">
        <v>11</v>
      </c>
      <c r="B13" s="35" t="n">
        <v>46363</v>
      </c>
      <c r="C13" s="26" t="n"/>
      <c r="D13" s="26" t="n"/>
      <c r="E13" s="26" t="n"/>
      <c r="F13" s="26" t="n"/>
      <c r="G13" s="26" t="n"/>
      <c r="H13" s="26" t="n"/>
      <c r="I13" s="26" t="n"/>
      <c r="J13" s="25">
        <f>COUNTIF(C13:I13,"&gt;0")</f>
        <v/>
      </c>
      <c r="K13" s="25">
        <f>SUM(C13:I13)</f>
        <v/>
      </c>
      <c r="L13" s="26" t="n"/>
      <c r="M13" s="26" t="n"/>
      <c r="N13" s="26" t="n"/>
    </row>
    <row r="14">
      <c r="A14" s="25" t="n">
        <v>12</v>
      </c>
      <c r="B14" s="35" t="n">
        <v>46370</v>
      </c>
      <c r="C14" s="26" t="n"/>
      <c r="D14" s="26" t="n"/>
      <c r="E14" s="26" t="n"/>
      <c r="F14" s="26" t="n"/>
      <c r="G14" s="26" t="n"/>
      <c r="H14" s="26" t="n"/>
      <c r="I14" s="26" t="n"/>
      <c r="J14" s="25">
        <f>COUNTIF(C14:I14,"&gt;0")</f>
        <v/>
      </c>
      <c r="K14" s="25">
        <f>SUM(C14:I14)</f>
        <v/>
      </c>
      <c r="L14" s="26" t="n"/>
      <c r="M14" s="26" t="n"/>
      <c r="N14" s="26" t="n"/>
    </row>
    <row r="15">
      <c r="A15" s="25" t="n">
        <v>13</v>
      </c>
      <c r="B15" s="35" t="n">
        <v>46391</v>
      </c>
      <c r="C15" s="26" t="n"/>
      <c r="D15" s="26" t="n"/>
      <c r="E15" s="26" t="n"/>
      <c r="F15" s="26" t="n"/>
      <c r="G15" s="26" t="n"/>
      <c r="H15" s="26" t="n"/>
      <c r="I15" s="26" t="n"/>
      <c r="J15" s="25">
        <f>COUNTIF(C15:I15,"&gt;0")</f>
        <v/>
      </c>
      <c r="K15" s="25">
        <f>SUM(C15:I15)</f>
        <v/>
      </c>
      <c r="L15" s="26" t="n"/>
      <c r="M15" s="26" t="n"/>
      <c r="N15" s="26" t="n"/>
    </row>
    <row r="16">
      <c r="A16" s="25" t="n">
        <v>14</v>
      </c>
      <c r="B16" s="35" t="n">
        <v>46398</v>
      </c>
      <c r="C16" s="26" t="n"/>
      <c r="D16" s="26" t="n"/>
      <c r="E16" s="26" t="n"/>
      <c r="F16" s="26" t="n"/>
      <c r="G16" s="26" t="n"/>
      <c r="H16" s="26" t="n"/>
      <c r="I16" s="26" t="n"/>
      <c r="J16" s="25">
        <f>COUNTIF(C16:I16,"&gt;0")</f>
        <v/>
      </c>
      <c r="K16" s="25">
        <f>SUM(C16:I16)</f>
        <v/>
      </c>
      <c r="L16" s="26" t="n"/>
      <c r="M16" s="26" t="n"/>
      <c r="N16" s="26" t="n"/>
    </row>
    <row r="17">
      <c r="A17" s="25" t="n">
        <v>15</v>
      </c>
      <c r="B17" s="35" t="n">
        <v>46405</v>
      </c>
      <c r="C17" s="26" t="n"/>
      <c r="D17" s="26" t="n"/>
      <c r="E17" s="26" t="n"/>
      <c r="F17" s="26" t="n"/>
      <c r="G17" s="26" t="n"/>
      <c r="H17" s="26" t="n"/>
      <c r="I17" s="26" t="n"/>
      <c r="J17" s="25">
        <f>COUNTIF(C17:I17,"&gt;0")</f>
        <v/>
      </c>
      <c r="K17" s="25">
        <f>SUM(C17:I17)</f>
        <v/>
      </c>
      <c r="L17" s="26" t="n"/>
      <c r="M17" s="26" t="n"/>
      <c r="N17" s="26" t="n"/>
    </row>
    <row r="18">
      <c r="A18" s="25" t="n">
        <v>16</v>
      </c>
      <c r="B18" s="35" t="n">
        <v>46419</v>
      </c>
      <c r="C18" s="26" t="n"/>
      <c r="D18" s="26" t="n"/>
      <c r="E18" s="26" t="n"/>
      <c r="F18" s="26" t="n"/>
      <c r="G18" s="26" t="n"/>
      <c r="H18" s="26" t="n"/>
      <c r="I18" s="26" t="n"/>
      <c r="J18" s="25">
        <f>COUNTIF(C18:I18,"&gt;0")</f>
        <v/>
      </c>
      <c r="K18" s="25">
        <f>SUM(C18:I18)</f>
        <v/>
      </c>
      <c r="L18" s="26" t="n"/>
      <c r="M18" s="26" t="n"/>
      <c r="N18" s="26" t="n"/>
    </row>
    <row r="19">
      <c r="A19" s="25" t="n">
        <v>17</v>
      </c>
      <c r="B19" s="35" t="n">
        <v>46426</v>
      </c>
      <c r="C19" s="26" t="n"/>
      <c r="D19" s="26" t="n"/>
      <c r="E19" s="26" t="n"/>
      <c r="F19" s="26" t="n"/>
      <c r="G19" s="26" t="n"/>
      <c r="H19" s="26" t="n"/>
      <c r="I19" s="26" t="n"/>
      <c r="J19" s="25">
        <f>COUNTIF(C19:I19,"&gt;0")</f>
        <v/>
      </c>
      <c r="K19" s="25">
        <f>SUM(C19:I19)</f>
        <v/>
      </c>
      <c r="L19" s="26" t="n"/>
      <c r="M19" s="26" t="n"/>
      <c r="N19" s="26" t="n"/>
    </row>
    <row r="20">
      <c r="A20" s="25" t="n">
        <v>18</v>
      </c>
      <c r="B20" s="35" t="n">
        <v>46433</v>
      </c>
      <c r="C20" s="26" t="n"/>
      <c r="D20" s="26" t="n"/>
      <c r="E20" s="26" t="n"/>
      <c r="F20" s="26" t="n"/>
      <c r="G20" s="26" t="n"/>
      <c r="H20" s="26" t="n"/>
      <c r="I20" s="26" t="n"/>
      <c r="J20" s="25">
        <f>COUNTIF(C20:I20,"&gt;0")</f>
        <v/>
      </c>
      <c r="K20" s="25">
        <f>SUM(C20:I20)</f>
        <v/>
      </c>
      <c r="L20" s="26" t="n"/>
      <c r="M20" s="26" t="n"/>
      <c r="N20" s="26" t="n"/>
    </row>
    <row r="21">
      <c r="A21" s="25" t="n">
        <v>19</v>
      </c>
      <c r="B21" s="35" t="n">
        <v>46440</v>
      </c>
      <c r="C21" s="26" t="n"/>
      <c r="D21" s="26" t="n"/>
      <c r="E21" s="26" t="n"/>
      <c r="F21" s="26" t="n"/>
      <c r="G21" s="26" t="n"/>
      <c r="H21" s="26" t="n"/>
      <c r="I21" s="26" t="n"/>
      <c r="J21" s="25">
        <f>COUNTIF(C21:I21,"&gt;0")</f>
        <v/>
      </c>
      <c r="K21" s="25">
        <f>SUM(C21:I21)</f>
        <v/>
      </c>
      <c r="L21" s="26" t="n"/>
      <c r="M21" s="26" t="n"/>
      <c r="N21" s="26" t="n"/>
    </row>
    <row r="22">
      <c r="A22" s="25" t="n">
        <v>20</v>
      </c>
      <c r="B22" s="35" t="n">
        <v>46447</v>
      </c>
      <c r="C22" s="26" t="n"/>
      <c r="D22" s="26" t="n"/>
      <c r="E22" s="26" t="n"/>
      <c r="F22" s="26" t="n"/>
      <c r="G22" s="26" t="n"/>
      <c r="H22" s="26" t="n"/>
      <c r="I22" s="26" t="n"/>
      <c r="J22" s="25">
        <f>COUNTIF(C22:I22,"&gt;0")</f>
        <v/>
      </c>
      <c r="K22" s="25">
        <f>SUM(C22:I22)</f>
        <v/>
      </c>
      <c r="L22" s="26" t="n"/>
      <c r="M22" s="26" t="n"/>
      <c r="N22" s="26" t="n"/>
    </row>
    <row r="23">
      <c r="A23" s="25" t="n">
        <v>21</v>
      </c>
      <c r="B23" s="35" t="n">
        <v>46454</v>
      </c>
      <c r="C23" s="26" t="n"/>
      <c r="D23" s="26" t="n"/>
      <c r="E23" s="26" t="n"/>
      <c r="F23" s="26" t="n"/>
      <c r="G23" s="26" t="n"/>
      <c r="H23" s="26" t="n"/>
      <c r="I23" s="26" t="n"/>
      <c r="J23" s="25">
        <f>COUNTIF(C23:I23,"&gt;0")</f>
        <v/>
      </c>
      <c r="K23" s="25">
        <f>SUM(C23:I23)</f>
        <v/>
      </c>
      <c r="L23" s="26" t="n"/>
      <c r="M23" s="26" t="n"/>
      <c r="N23" s="26" t="n"/>
    </row>
    <row r="24">
      <c r="A24" s="25" t="n">
        <v>22</v>
      </c>
      <c r="B24" s="35" t="n">
        <v>46461</v>
      </c>
      <c r="C24" s="26" t="n"/>
      <c r="D24" s="26" t="n"/>
      <c r="E24" s="26" t="n"/>
      <c r="F24" s="26" t="n"/>
      <c r="G24" s="26" t="n"/>
      <c r="H24" s="26" t="n"/>
      <c r="I24" s="26" t="n"/>
      <c r="J24" s="25">
        <f>COUNTIF(C24:I24,"&gt;0")</f>
        <v/>
      </c>
      <c r="K24" s="25">
        <f>SUM(C24:I24)</f>
        <v/>
      </c>
      <c r="L24" s="26" t="n"/>
      <c r="M24" s="26" t="n"/>
      <c r="N24" s="26" t="n"/>
    </row>
    <row r="25">
      <c r="A25" s="25" t="n">
        <v>23</v>
      </c>
      <c r="B25" s="35" t="n">
        <v>46482</v>
      </c>
      <c r="C25" s="26" t="n"/>
      <c r="D25" s="26" t="n"/>
      <c r="E25" s="26" t="n"/>
      <c r="F25" s="26" t="n"/>
      <c r="G25" s="26" t="n"/>
      <c r="H25" s="26" t="n"/>
      <c r="I25" s="26" t="n"/>
      <c r="J25" s="25">
        <f>COUNTIF(C25:I25,"&gt;0")</f>
        <v/>
      </c>
      <c r="K25" s="25">
        <f>SUM(C25:I25)</f>
        <v/>
      </c>
      <c r="L25" s="26" t="n"/>
      <c r="M25" s="26" t="n"/>
      <c r="N25" s="26" t="n"/>
    </row>
    <row r="26">
      <c r="A26" s="25" t="n">
        <v>24</v>
      </c>
      <c r="B26" s="35" t="n">
        <v>46489</v>
      </c>
      <c r="C26" s="26" t="n"/>
      <c r="D26" s="26" t="n"/>
      <c r="E26" s="26" t="n"/>
      <c r="F26" s="26" t="n"/>
      <c r="G26" s="26" t="n"/>
      <c r="H26" s="26" t="n"/>
      <c r="I26" s="26" t="n"/>
      <c r="J26" s="25">
        <f>COUNTIF(C26:I26,"&gt;0")</f>
        <v/>
      </c>
      <c r="K26" s="25">
        <f>SUM(C26:I26)</f>
        <v/>
      </c>
      <c r="L26" s="26" t="n"/>
      <c r="M26" s="26" t="n"/>
      <c r="N26" s="26" t="n"/>
    </row>
    <row r="27">
      <c r="A27" s="25" t="n">
        <v>25</v>
      </c>
      <c r="B27" s="35" t="n">
        <v>46496</v>
      </c>
      <c r="C27" s="26" t="n"/>
      <c r="D27" s="26" t="n"/>
      <c r="E27" s="26" t="n"/>
      <c r="F27" s="26" t="n"/>
      <c r="G27" s="26" t="n"/>
      <c r="H27" s="26" t="n"/>
      <c r="I27" s="26" t="n"/>
      <c r="J27" s="25">
        <f>COUNTIF(C27:I27,"&gt;0")</f>
        <v/>
      </c>
      <c r="K27" s="25">
        <f>SUM(C27:I27)</f>
        <v/>
      </c>
      <c r="L27" s="26" t="n"/>
      <c r="M27" s="26" t="n"/>
      <c r="N27" s="26" t="n"/>
    </row>
    <row r="28">
      <c r="A28" s="25" t="n">
        <v>26</v>
      </c>
      <c r="B28" s="35" t="n">
        <v>46503</v>
      </c>
      <c r="C28" s="26" t="n"/>
      <c r="D28" s="26" t="n"/>
      <c r="E28" s="26" t="n"/>
      <c r="F28" s="26" t="n"/>
      <c r="G28" s="26" t="n"/>
      <c r="H28" s="26" t="n"/>
      <c r="I28" s="26" t="n"/>
      <c r="J28" s="25">
        <f>COUNTIF(C28:I28,"&gt;0")</f>
        <v/>
      </c>
      <c r="K28" s="25">
        <f>SUM(C28:I28)</f>
        <v/>
      </c>
      <c r="L28" s="26" t="n"/>
      <c r="M28" s="26" t="n"/>
      <c r="N28" s="26" t="n"/>
    </row>
    <row r="29">
      <c r="A29" s="25" t="n">
        <v>27</v>
      </c>
      <c r="B29" s="35" t="n">
        <v>46510</v>
      </c>
      <c r="C29" s="26" t="n"/>
      <c r="D29" s="26" t="n"/>
      <c r="E29" s="26" t="n"/>
      <c r="F29" s="26" t="n"/>
      <c r="G29" s="26" t="n"/>
      <c r="H29" s="26" t="n"/>
      <c r="I29" s="26" t="n"/>
      <c r="J29" s="25">
        <f>COUNTIF(C29:I29,"&gt;0")</f>
        <v/>
      </c>
      <c r="K29" s="25">
        <f>SUM(C29:I29)</f>
        <v/>
      </c>
      <c r="L29" s="26" t="n"/>
      <c r="M29" s="26" t="n"/>
      <c r="N29" s="26" t="n"/>
    </row>
    <row r="30">
      <c r="A30" s="25" t="n">
        <v>28</v>
      </c>
      <c r="B30" s="35" t="n">
        <v>46517</v>
      </c>
      <c r="C30" s="26" t="n"/>
      <c r="D30" s="26" t="n"/>
      <c r="E30" s="26" t="n"/>
      <c r="F30" s="26" t="n"/>
      <c r="G30" s="26" t="n"/>
      <c r="H30" s="26" t="n"/>
      <c r="I30" s="26" t="n"/>
      <c r="J30" s="25">
        <f>COUNTIF(C30:I30,"&gt;0")</f>
        <v/>
      </c>
      <c r="K30" s="25">
        <f>SUM(C30:I30)</f>
        <v/>
      </c>
      <c r="L30" s="26" t="n"/>
      <c r="M30" s="26" t="n"/>
      <c r="N30" s="26" t="n"/>
    </row>
    <row r="31">
      <c r="A31" s="25" t="n">
        <v>29</v>
      </c>
      <c r="B31" s="35" t="n">
        <v>46524</v>
      </c>
      <c r="C31" s="26" t="n"/>
      <c r="D31" s="26" t="n"/>
      <c r="E31" s="26" t="n"/>
      <c r="F31" s="26" t="n"/>
      <c r="G31" s="26" t="n"/>
      <c r="H31" s="26" t="n"/>
      <c r="I31" s="26" t="n"/>
      <c r="J31" s="25">
        <f>COUNTIF(C31:I31,"&gt;0")</f>
        <v/>
      </c>
      <c r="K31" s="25">
        <f>SUM(C31:I31)</f>
        <v/>
      </c>
      <c r="L31" s="26" t="n"/>
      <c r="M31" s="26" t="n"/>
      <c r="N31" s="26" t="n"/>
    </row>
    <row r="32">
      <c r="A32" s="25" t="n">
        <v>30</v>
      </c>
      <c r="B32" s="35" t="n">
        <v>46531</v>
      </c>
      <c r="C32" s="26" t="n"/>
      <c r="D32" s="26" t="n"/>
      <c r="E32" s="26" t="n"/>
      <c r="F32" s="26" t="n"/>
      <c r="G32" s="26" t="n"/>
      <c r="H32" s="26" t="n"/>
      <c r="I32" s="26" t="n"/>
      <c r="J32" s="25">
        <f>COUNTIF(C32:I32,"&gt;0")</f>
        <v/>
      </c>
      <c r="K32" s="25">
        <f>SUM(C32:I32)</f>
        <v/>
      </c>
      <c r="L32" s="26" t="n"/>
      <c r="M32" s="26" t="n"/>
      <c r="N32" s="26" t="n"/>
    </row>
    <row r="33">
      <c r="A33" s="25" t="n">
        <v>31</v>
      </c>
      <c r="B33" s="35" t="n">
        <v>46538</v>
      </c>
      <c r="C33" s="26" t="n"/>
      <c r="D33" s="26" t="n"/>
      <c r="E33" s="26" t="n"/>
      <c r="F33" s="26" t="n"/>
      <c r="G33" s="26" t="n"/>
      <c r="H33" s="26" t="n"/>
      <c r="I33" s="26" t="n"/>
      <c r="J33" s="25">
        <f>COUNTIF(C33:I33,"&gt;0")</f>
        <v/>
      </c>
      <c r="K33" s="25">
        <f>SUM(C33:I33)</f>
        <v/>
      </c>
      <c r="L33" s="26" t="n"/>
      <c r="M33" s="26" t="n"/>
      <c r="N33" s="26" t="n"/>
    </row>
    <row r="34">
      <c r="A34" s="25" t="n">
        <v>32</v>
      </c>
      <c r="B34" s="35" t="n">
        <v>46545</v>
      </c>
      <c r="C34" s="26" t="n"/>
      <c r="D34" s="26" t="n"/>
      <c r="E34" s="26" t="n"/>
      <c r="F34" s="26" t="n"/>
      <c r="G34" s="26" t="n"/>
      <c r="H34" s="26" t="n"/>
      <c r="I34" s="26" t="n"/>
      <c r="J34" s="25">
        <f>COUNTIF(C34:I34,"&gt;0")</f>
        <v/>
      </c>
      <c r="K34" s="25">
        <f>SUM(C34:I34)</f>
        <v/>
      </c>
      <c r="L34" s="26" t="n"/>
      <c r="M34" s="26" t="n"/>
      <c r="N34" s="26" t="n"/>
    </row>
  </sheetData>
  <conditionalFormatting sqref="J3">
    <cfRule type="cellIs" priority="1" operator="lessThan" dxfId="0">
      <formula>4</formula>
    </cfRule>
    <cfRule type="cellIs" priority="2" operator="greaterThanOrEqual" dxfId="1">
      <formula>5</formula>
    </cfRule>
  </conditionalFormatting>
  <conditionalFormatting sqref="J4">
    <cfRule type="cellIs" priority="3" operator="lessThan" dxfId="0">
      <formula>4</formula>
    </cfRule>
    <cfRule type="cellIs" priority="4" operator="greaterThanOrEqual" dxfId="1">
      <formula>5</formula>
    </cfRule>
  </conditionalFormatting>
  <conditionalFormatting sqref="J5">
    <cfRule type="cellIs" priority="5" operator="lessThan" dxfId="0">
      <formula>4</formula>
    </cfRule>
    <cfRule type="cellIs" priority="6" operator="greaterThanOrEqual" dxfId="1">
      <formula>5</formula>
    </cfRule>
  </conditionalFormatting>
  <conditionalFormatting sqref="J6">
    <cfRule type="cellIs" priority="7" operator="lessThan" dxfId="0">
      <formula>4</formula>
    </cfRule>
    <cfRule type="cellIs" priority="8" operator="greaterThanOrEqual" dxfId="1">
      <formula>5</formula>
    </cfRule>
  </conditionalFormatting>
  <conditionalFormatting sqref="J7">
    <cfRule type="cellIs" priority="9" operator="lessThan" dxfId="0">
      <formula>4</formula>
    </cfRule>
    <cfRule type="cellIs" priority="10" operator="greaterThanOrEqual" dxfId="1">
      <formula>5</formula>
    </cfRule>
  </conditionalFormatting>
  <conditionalFormatting sqref="J8">
    <cfRule type="cellIs" priority="11" operator="lessThan" dxfId="0">
      <formula>4</formula>
    </cfRule>
    <cfRule type="cellIs" priority="12" operator="greaterThanOrEqual" dxfId="1">
      <formula>5</formula>
    </cfRule>
  </conditionalFormatting>
  <conditionalFormatting sqref="J9">
    <cfRule type="cellIs" priority="13" operator="lessThan" dxfId="0">
      <formula>4</formula>
    </cfRule>
    <cfRule type="cellIs" priority="14" operator="greaterThanOrEqual" dxfId="1">
      <formula>5</formula>
    </cfRule>
  </conditionalFormatting>
  <conditionalFormatting sqref="J10">
    <cfRule type="cellIs" priority="15" operator="lessThan" dxfId="0">
      <formula>4</formula>
    </cfRule>
    <cfRule type="cellIs" priority="16" operator="greaterThanOrEqual" dxfId="1">
      <formula>5</formula>
    </cfRule>
  </conditionalFormatting>
  <conditionalFormatting sqref="J11">
    <cfRule type="cellIs" priority="17" operator="lessThan" dxfId="0">
      <formula>4</formula>
    </cfRule>
    <cfRule type="cellIs" priority="18" operator="greaterThanOrEqual" dxfId="1">
      <formula>5</formula>
    </cfRule>
  </conditionalFormatting>
  <conditionalFormatting sqref="J12">
    <cfRule type="cellIs" priority="19" operator="lessThan" dxfId="0">
      <formula>4</formula>
    </cfRule>
    <cfRule type="cellIs" priority="20" operator="greaterThanOrEqual" dxfId="1">
      <formula>5</formula>
    </cfRule>
  </conditionalFormatting>
  <conditionalFormatting sqref="J13">
    <cfRule type="cellIs" priority="21" operator="lessThan" dxfId="0">
      <formula>4</formula>
    </cfRule>
    <cfRule type="cellIs" priority="22" operator="greaterThanOrEqual" dxfId="1">
      <formula>5</formula>
    </cfRule>
  </conditionalFormatting>
  <conditionalFormatting sqref="J14">
    <cfRule type="cellIs" priority="23" operator="lessThan" dxfId="0">
      <formula>4</formula>
    </cfRule>
    <cfRule type="cellIs" priority="24" operator="greaterThanOrEqual" dxfId="1">
      <formula>5</formula>
    </cfRule>
  </conditionalFormatting>
  <conditionalFormatting sqref="J15">
    <cfRule type="cellIs" priority="25" operator="lessThan" dxfId="0">
      <formula>4</formula>
    </cfRule>
    <cfRule type="cellIs" priority="26" operator="greaterThanOrEqual" dxfId="1">
      <formula>5</formula>
    </cfRule>
  </conditionalFormatting>
  <conditionalFormatting sqref="J16">
    <cfRule type="cellIs" priority="27" operator="lessThan" dxfId="0">
      <formula>4</formula>
    </cfRule>
    <cfRule type="cellIs" priority="28" operator="greaterThanOrEqual" dxfId="1">
      <formula>5</formula>
    </cfRule>
  </conditionalFormatting>
  <conditionalFormatting sqref="J17">
    <cfRule type="cellIs" priority="29" operator="lessThan" dxfId="0">
      <formula>4</formula>
    </cfRule>
    <cfRule type="cellIs" priority="30" operator="greaterThanOrEqual" dxfId="1">
      <formula>5</formula>
    </cfRule>
  </conditionalFormatting>
  <conditionalFormatting sqref="J18">
    <cfRule type="cellIs" priority="31" operator="lessThan" dxfId="0">
      <formula>4</formula>
    </cfRule>
    <cfRule type="cellIs" priority="32" operator="greaterThanOrEqual" dxfId="1">
      <formula>5</formula>
    </cfRule>
  </conditionalFormatting>
  <conditionalFormatting sqref="J19">
    <cfRule type="cellIs" priority="33" operator="lessThan" dxfId="0">
      <formula>4</formula>
    </cfRule>
    <cfRule type="cellIs" priority="34" operator="greaterThanOrEqual" dxfId="1">
      <formula>5</formula>
    </cfRule>
  </conditionalFormatting>
  <conditionalFormatting sqref="J20">
    <cfRule type="cellIs" priority="35" operator="lessThan" dxfId="0">
      <formula>4</formula>
    </cfRule>
    <cfRule type="cellIs" priority="36" operator="greaterThanOrEqual" dxfId="1">
      <formula>5</formula>
    </cfRule>
  </conditionalFormatting>
  <conditionalFormatting sqref="J21">
    <cfRule type="cellIs" priority="37" operator="lessThan" dxfId="0">
      <formula>4</formula>
    </cfRule>
    <cfRule type="cellIs" priority="38" operator="greaterThanOrEqual" dxfId="1">
      <formula>5</formula>
    </cfRule>
  </conditionalFormatting>
  <conditionalFormatting sqref="J22">
    <cfRule type="cellIs" priority="39" operator="lessThan" dxfId="0">
      <formula>4</formula>
    </cfRule>
    <cfRule type="cellIs" priority="40" operator="greaterThanOrEqual" dxfId="1">
      <formula>5</formula>
    </cfRule>
  </conditionalFormatting>
  <conditionalFormatting sqref="J23">
    <cfRule type="cellIs" priority="41" operator="lessThan" dxfId="0">
      <formula>4</formula>
    </cfRule>
    <cfRule type="cellIs" priority="42" operator="greaterThanOrEqual" dxfId="1">
      <formula>5</formula>
    </cfRule>
  </conditionalFormatting>
  <conditionalFormatting sqref="J24">
    <cfRule type="cellIs" priority="43" operator="lessThan" dxfId="0">
      <formula>4</formula>
    </cfRule>
    <cfRule type="cellIs" priority="44" operator="greaterThanOrEqual" dxfId="1">
      <formula>5</formula>
    </cfRule>
  </conditionalFormatting>
  <conditionalFormatting sqref="J25">
    <cfRule type="cellIs" priority="45" operator="lessThan" dxfId="0">
      <formula>4</formula>
    </cfRule>
    <cfRule type="cellIs" priority="46" operator="greaterThanOrEqual" dxfId="1">
      <formula>5</formula>
    </cfRule>
  </conditionalFormatting>
  <conditionalFormatting sqref="J26">
    <cfRule type="cellIs" priority="47" operator="lessThan" dxfId="0">
      <formula>4</formula>
    </cfRule>
    <cfRule type="cellIs" priority="48" operator="greaterThanOrEqual" dxfId="1">
      <formula>5</formula>
    </cfRule>
  </conditionalFormatting>
  <conditionalFormatting sqref="J27">
    <cfRule type="cellIs" priority="49" operator="lessThan" dxfId="0">
      <formula>4</formula>
    </cfRule>
    <cfRule type="cellIs" priority="50" operator="greaterThanOrEqual" dxfId="1">
      <formula>5</formula>
    </cfRule>
  </conditionalFormatting>
  <conditionalFormatting sqref="J28">
    <cfRule type="cellIs" priority="51" operator="lessThan" dxfId="0">
      <formula>4</formula>
    </cfRule>
    <cfRule type="cellIs" priority="52" operator="greaterThanOrEqual" dxfId="1">
      <formula>5</formula>
    </cfRule>
  </conditionalFormatting>
  <conditionalFormatting sqref="J29">
    <cfRule type="cellIs" priority="53" operator="lessThan" dxfId="0">
      <formula>4</formula>
    </cfRule>
    <cfRule type="cellIs" priority="54" operator="greaterThanOrEqual" dxfId="1">
      <formula>5</formula>
    </cfRule>
  </conditionalFormatting>
  <conditionalFormatting sqref="J30">
    <cfRule type="cellIs" priority="55" operator="lessThan" dxfId="0">
      <formula>4</formula>
    </cfRule>
    <cfRule type="cellIs" priority="56" operator="greaterThanOrEqual" dxfId="1">
      <formula>5</formula>
    </cfRule>
  </conditionalFormatting>
  <conditionalFormatting sqref="J31">
    <cfRule type="cellIs" priority="57" operator="lessThan" dxfId="0">
      <formula>4</formula>
    </cfRule>
    <cfRule type="cellIs" priority="58" operator="greaterThanOrEqual" dxfId="1">
      <formula>5</formula>
    </cfRule>
  </conditionalFormatting>
  <conditionalFormatting sqref="J32">
    <cfRule type="cellIs" priority="59" operator="lessThan" dxfId="0">
      <formula>4</formula>
    </cfRule>
    <cfRule type="cellIs" priority="60" operator="greaterThanOrEqual" dxfId="1">
      <formula>5</formula>
    </cfRule>
  </conditionalFormatting>
  <conditionalFormatting sqref="J33">
    <cfRule type="cellIs" priority="61" operator="lessThan" dxfId="0">
      <formula>4</formula>
    </cfRule>
    <cfRule type="cellIs" priority="62" operator="greaterThanOrEqual" dxfId="1">
      <formula>5</formula>
    </cfRule>
  </conditionalFormatting>
  <conditionalFormatting sqref="J34">
    <cfRule type="cellIs" priority="63" operator="lessThan" dxfId="0">
      <formula>4</formula>
    </cfRule>
    <cfRule type="cellIs" priority="64" operator="greaterThanOrEqual" dxfId="1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2026-09-30T10:29:39Z</dcterms:created>
  <dcterms:modified xmlns:dcterms="http://purl.org/dc/terms/" xmlns:xsi="http://www.w3.org/2001/XMLSchema-instance" xsi:type="dcterms:W3CDTF">2026-09-30T10:29:39Z</dcterms:modified>
</cp:coreProperties>
</file>